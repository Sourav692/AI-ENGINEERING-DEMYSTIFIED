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Drill Add-ons" sheetId="3" state="visible" r:id="rId3"/>
    <sheet xmlns:r="http://schemas.openxmlformats.org/officeDocument/2006/relationships" name="Case Studies" sheetId="4" state="visible" r:id="rId4"/>
    <sheet xmlns:r="http://schemas.openxmlformats.org/officeDocument/2006/relationships" name="PDF Caseboo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aseStudies" displayName="CaseStudies" ref="A1:O122" headerRowCount="1">
  <autoFilter ref="A1:O122"/>
  <tableColumns count="15">
    <tableColumn id="1" name="#"/>
    <tableColumn id="2" name="Category"/>
    <tableColumn id="3" name="Group"/>
    <tableColumn id="4" name="Role in group"/>
    <tableColumn id="5" name="Prep note (delta vs anchor)"/>
    <tableColumn id="6" name="Case study"/>
    <tableColumn id="7" name="Collection"/>
    <tableColumn id="8" name="Primary path (relative to 06_Interview_Prep/)"/>
    <tableColumn id="9" name="Answer key / paired doc"/>
    <tableColumn id="10" name="Also appears in"/>
    <tableColumn id="11" name="Formats"/>
    <tableColumn id="12" name="Tracked in git"/>
    <tableColumn id="13" name="Notes"/>
    <tableColumn id="14" name="Prep pack (relative to Case_Study_Groups/)"/>
    <tableColumn id="15" name="Site page (Forward Deployed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orward-deployed-sigma.vercel.app/modules/15-fde-case-studies/knowledge-retrieval/enterprise-knowledge-assistant" TargetMode="External" Id="rId1"/><Relationship Type="http://schemas.openxmlformats.org/officeDocument/2006/relationships/hyperlink" Target="https://forward-deployed-sigma.vercel.app/modules/15-fde-case-studies/agents-that-act/customer-support-automation" TargetMode="External" Id="rId2"/><Relationship Type="http://schemas.openxmlformats.org/officeDocument/2006/relationships/hyperlink" Target="https://forward-deployed-sigma.vercel.app/modules/15-fde-case-studies/agents-that-act/tool-using-agent-with-safety-controls" TargetMode="External" Id="rId3"/><Relationship Type="http://schemas.openxmlformats.org/officeDocument/2006/relationships/hyperlink" Target="https://forward-deployed-sigma.vercel.app/modules/15-fde-case-studies/agents-that-act/sre-incident-response-agent" TargetMode="External" Id="rId4"/><Relationship Type="http://schemas.openxmlformats.org/officeDocument/2006/relationships/hyperlink" Target="https://forward-deployed-sigma.vercel.app/modules/15-fde-case-studies/agents-that-act/sales-copilot" TargetMode="External" Id="rId5"/><Relationship Type="http://schemas.openxmlformats.org/officeDocument/2006/relationships/hyperlink" Target="https://forward-deployed-sigma.vercel.app/modules/15-fde-case-studies/knowledge-retrieval/nl-over-governed-data" TargetMode="External" Id="rId6"/><Relationship Type="http://schemas.openxmlformats.org/officeDocument/2006/relationships/hyperlink" Target="https://forward-deployed-sigma.vercel.app/modules/15-fde-case-studies/platforms-and-scale/secure-multi-tenant-ai-platform" TargetMode="External" Id="rId7"/><Relationship Type="http://schemas.openxmlformats.org/officeDocument/2006/relationships/hyperlink" Target="https://forward-deployed-sigma.vercel.app/modules/15-fde-case-studies/knowledge-retrieval/document-review-copilot" TargetMode="External" Id="rId8"/><Relationship Type="http://schemas.openxmlformats.org/officeDocument/2006/relationships/hyperlink" Target="https://forward-deployed-sigma.vercel.app/modules/15-fde-case-studies/agents-that-act/enterprise-coding-assistant" TargetMode="External" Id="rId9"/><Relationship Type="http://schemas.openxmlformats.org/officeDocument/2006/relationships/hyperlink" Target="https://forward-deployed-sigma.vercel.app/modules/15-fde-case-studies/platforms-and-scale/high-volume-batch-pipeline" TargetMode="External" Id="rId10"/><Relationship Type="http://schemas.openxmlformats.org/officeDocument/2006/relationships/hyperlink" Target="https://forward-deployed-sigma.vercel.app/modules/15-fde-case-studies/knowledge-retrieval/deep-research-agent" TargetMode="External" Id="rId11"/><Relationship Type="http://schemas.openxmlformats.org/officeDocument/2006/relationships/hyperlink" Target="https://forward-deployed-sigma.vercel.app/modules/15-fde-case-studies/delivery-evaluation-operations/scoping-to-deployed-agent" TargetMode="External" Id="rId12"/><Relationship Type="http://schemas.openxmlformats.org/officeDocument/2006/relationships/hyperlink" Target="https://forward-deployed-sigma.vercel.app/modules/15-fde-case-studies/delivery-evaluation-operations/evaluation-and-release-gating" TargetMode="External" Id="rId13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14"/><Relationship Type="http://schemas.openxmlformats.org/officeDocument/2006/relationships/hyperlink" Target="https://forward-deployed-sigma.vercel.app/modules/15-fde-case-studies/platforms-and-scale/agent-platform-for-non-technical-users" TargetMode="External" Id="rId15"/><Relationship Type="http://schemas.openxmlformats.org/officeDocument/2006/relationships/hyperlink" Target="https://forward-deployed-sigma.vercel.app/modules/15-fde-case-studies/agents-that-act/logistics-exception-handling" TargetMode="External" Id="rId16"/><Relationship Type="http://schemas.openxmlformats.org/officeDocument/2006/relationships/hyperlink" Target="https://forward-deployed-sigma.vercel.app/modules/15-fde-case-studies/platforms-and-scale/consumer-scale-chat-service" TargetMode="External" Id="rId17"/><Relationship Type="http://schemas.openxmlformats.org/officeDocument/2006/relationships/hyperlink" Target="https://forward-deployed-sigma.vercel.app/modules/15-fde-case-studies/model-development/model-development-and-post-training" TargetMode="External" Id="rId18"/><Relationship Type="http://schemas.openxmlformats.org/officeDocument/2006/relationships/hyperlink" Target="https://forward-deployed-sigma.vercel.app/modules/15-fde-case-studies/platforms-and-scale/llm-inference-serving" TargetMode="External" Id="rId19"/><Relationship Type="http://schemas.openxmlformats.org/officeDocument/2006/relationships/hyperlink" Target="https://forward-deployed-sigma.vercel.app/modules/15-fde-case-studies/agents-that-act/real-time-call-assistant" TargetMode="External" Id="rId20"/><Relationship Type="http://schemas.openxmlformats.org/officeDocument/2006/relationships/hyperlink" Target="https://forward-deployed-sigma.vercel.app/modules/15-fde-case-studies" TargetMode="External" Id="rId21"/></Relationships>
</file>

<file path=xl/worksheets/_rels/sheet4.xml.rels><Relationships xmlns="http://schemas.openxmlformats.org/package/2006/relationships"><Relationship Type="http://schemas.openxmlformats.org/officeDocument/2006/relationships/hyperlink" Target="https://forward-deployed-sigma.vercel.app/modules/15-fde-case-studies/agents-that-act/tool-using-agent-with-safety-controls" TargetMode="External" Id="rId1"/><Relationship Type="http://schemas.openxmlformats.org/officeDocument/2006/relationships/hyperlink" Target="https://forward-deployed-sigma.vercel.app/modules/15-fde-case-studies/agents-that-act/customer-support-automation" TargetMode="External" Id="rId2"/><Relationship Type="http://schemas.openxmlformats.org/officeDocument/2006/relationships/hyperlink" Target="https://forward-deployed-sigma.vercel.app/modules/15-fde-case-studies/agents-that-act/enterprise-coding-assistant" TargetMode="External" Id="rId3"/><Relationship Type="http://schemas.openxmlformats.org/officeDocument/2006/relationships/hyperlink" Target="https://forward-deployed-sigma.vercel.app/modules/15-fde-case-studies/standalone-designs/recruiting-platform" TargetMode="External" Id="rId4"/><Relationship Type="http://schemas.openxmlformats.org/officeDocument/2006/relationships/hyperlink" Target="https://forward-deployed-sigma.vercel.app/modules/15-fde-case-studies/agents-that-act/logistics-exception-handling" TargetMode="External" Id="rId5"/><Relationship Type="http://schemas.openxmlformats.org/officeDocument/2006/relationships/hyperlink" Target="https://forward-deployed-sigma.vercel.app/modules/15-fde-case-studies/knowledge-retrieval/enterprise-knowledge-assistant" TargetMode="External" Id="rId6"/><Relationship Type="http://schemas.openxmlformats.org/officeDocument/2006/relationships/hyperlink" Target="https://forward-deployed-sigma.vercel.app/modules/15-fde-case-studies/knowledge-retrieval/enterprise-knowledge-assistant" TargetMode="External" Id="rId7"/><Relationship Type="http://schemas.openxmlformats.org/officeDocument/2006/relationships/hyperlink" Target="https://forward-deployed-sigma.vercel.app/modules/15-fde-case-studies/platforms-and-scale/agent-platform-for-non-technical-users" TargetMode="External" Id="rId8"/><Relationship Type="http://schemas.openxmlformats.org/officeDocument/2006/relationships/hyperlink" Target="https://forward-deployed-sigma.vercel.app/modules/15-fde-case-studies/delivery-evaluation-operations/scoping-to-deployed-agent" TargetMode="External" Id="rId9"/><Relationship Type="http://schemas.openxmlformats.org/officeDocument/2006/relationships/hyperlink" Target="https://forward-deployed-sigma.vercel.app/modules/15-fde-case-studies/knowledge-retrieval/deep-research-agent" TargetMode="External" Id="rId10"/><Relationship Type="http://schemas.openxmlformats.org/officeDocument/2006/relationships/hyperlink" Target="https://forward-deployed-sigma.vercel.app/modules/15-fde-case-studies/agents-that-act/sre-incident-response-agent" TargetMode="External" Id="rId11"/><Relationship Type="http://schemas.openxmlformats.org/officeDocument/2006/relationships/hyperlink" Target="https://forward-deployed-sigma.vercel.app/modules/15-fde-case-studies/knowledge-retrieval/deep-research-agent" TargetMode="External" Id="rId12"/><Relationship Type="http://schemas.openxmlformats.org/officeDocument/2006/relationships/hyperlink" Target="https://forward-deployed-sigma.vercel.app/modules/15-fde-case-studies/knowledge-retrieval/nl-over-governed-data" TargetMode="External" Id="rId13"/><Relationship Type="http://schemas.openxmlformats.org/officeDocument/2006/relationships/hyperlink" Target="https://forward-deployed-sigma.vercel.app/modules/15-fde-case-studies/standalone-designs/travel-agent-worked-example" TargetMode="External" Id="rId14"/><Relationship Type="http://schemas.openxmlformats.org/officeDocument/2006/relationships/hyperlink" Target="https://forward-deployed-sigma.vercel.app/modules/15-fde-case-studies/knowledge-retrieval/enterprise-knowledge-assistant" TargetMode="External" Id="rId15"/><Relationship Type="http://schemas.openxmlformats.org/officeDocument/2006/relationships/hyperlink" Target="https://forward-deployed-sigma.vercel.app/modules/15-fde-case-studies/platforms-and-scale/secure-multi-tenant-ai-platform" TargetMode="External" Id="rId16"/><Relationship Type="http://schemas.openxmlformats.org/officeDocument/2006/relationships/hyperlink" Target="https://forward-deployed-sigma.vercel.app/modules/15-fde-case-studies/knowledge-retrieval/nl-over-governed-data" TargetMode="External" Id="rId17"/><Relationship Type="http://schemas.openxmlformats.org/officeDocument/2006/relationships/hyperlink" Target="https://forward-deployed-sigma.vercel.app/modules/15-fde-case-studies/agents-that-act/customer-support-automation" TargetMode="External" Id="rId18"/><Relationship Type="http://schemas.openxmlformats.org/officeDocument/2006/relationships/hyperlink" Target="https://forward-deployed-sigma.vercel.app/modules/15-fde-case-studies/standalone-designs/air-gapped-ai-system" TargetMode="External" Id="rId19"/><Relationship Type="http://schemas.openxmlformats.org/officeDocument/2006/relationships/hyperlink" Target="https://forward-deployed-sigma.vercel.app/modules/15-fde-case-studies/delivery-evaluation-operations/evaluation-and-release-gating" TargetMode="External" Id="rId20"/><Relationship Type="http://schemas.openxmlformats.org/officeDocument/2006/relationships/hyperlink" Target="https://forward-deployed-sigma.vercel.app/modules/15-fde-case-studies/platforms-and-scale/high-volume-batch-pipeline" TargetMode="External" Id="rId21"/><Relationship Type="http://schemas.openxmlformats.org/officeDocument/2006/relationships/hyperlink" Target="https://forward-deployed-sigma.vercel.app/modules/15-fde-case-studies/agents-that-act/tool-using-agent-with-safety-controls" TargetMode="External" Id="rId22"/><Relationship Type="http://schemas.openxmlformats.org/officeDocument/2006/relationships/hyperlink" Target="https://forward-deployed-sigma.vercel.app/modules/15-fde-case-studies/standalone-designs/reliable-workflow-orchestration" TargetMode="External" Id="rId23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24"/><Relationship Type="http://schemas.openxmlformats.org/officeDocument/2006/relationships/hyperlink" Target="https://forward-deployed-sigma.vercel.app/modules/15-fde-case-studies/standalone-designs/configurable-platform-customer-workflows" TargetMode="External" Id="rId25"/><Relationship Type="http://schemas.openxmlformats.org/officeDocument/2006/relationships/hyperlink" Target="https://forward-deployed-sigma.vercel.app/modules/15-fde-case-studies/standalone-designs/enterprise-chatbot-platform" TargetMode="External" Id="rId26"/><Relationship Type="http://schemas.openxmlformats.org/officeDocument/2006/relationships/hyperlink" Target="https://forward-deployed-sigma.vercel.app/modules/15-fde-case-studies/knowledge-retrieval/enterprise-knowledge-assistant" TargetMode="External" Id="rId27"/><Relationship Type="http://schemas.openxmlformats.org/officeDocument/2006/relationships/hyperlink" Target="https://forward-deployed-sigma.vercel.app/modules/15-fde-case-studies/agents-that-act/sales-copilot" TargetMode="External" Id="rId28"/><Relationship Type="http://schemas.openxmlformats.org/officeDocument/2006/relationships/hyperlink" Target="https://forward-deployed-sigma.vercel.app/modules/15-fde-case-studies/knowledge-retrieval/document-review-copilot" TargetMode="External" Id="rId29"/><Relationship Type="http://schemas.openxmlformats.org/officeDocument/2006/relationships/hyperlink" Target="https://forward-deployed-sigma.vercel.app/modules/15-fde-case-studies/knowledge-retrieval/document-review-copilot" TargetMode="External" Id="rId30"/><Relationship Type="http://schemas.openxmlformats.org/officeDocument/2006/relationships/hyperlink" Target="https://forward-deployed-sigma.vercel.app/modules/15-fde-case-studies/knowledge-retrieval/document-review-copilot" TargetMode="External" Id="rId31"/><Relationship Type="http://schemas.openxmlformats.org/officeDocument/2006/relationships/hyperlink" Target="https://forward-deployed-sigma.vercel.app/modules/15-fde-case-studies/agents-that-act/sre-incident-response-agent" TargetMode="External" Id="rId32"/><Relationship Type="http://schemas.openxmlformats.org/officeDocument/2006/relationships/hyperlink" Target="https://forward-deployed-sigma.vercel.app/modules/15-fde-case-studies/agents-that-act/customer-support-automation" TargetMode="External" Id="rId33"/><Relationship Type="http://schemas.openxmlformats.org/officeDocument/2006/relationships/hyperlink" Target="https://forward-deployed-sigma.vercel.app/modules/15-fde-case-studies/knowledge-retrieval/nl-over-governed-data" TargetMode="External" Id="rId34"/><Relationship Type="http://schemas.openxmlformats.org/officeDocument/2006/relationships/hyperlink" Target="https://forward-deployed-sigma.vercel.app/modules/15-fde-case-studies/agents-that-act/customer-support-automation" TargetMode="External" Id="rId35"/><Relationship Type="http://schemas.openxmlformats.org/officeDocument/2006/relationships/hyperlink" Target="https://forward-deployed-sigma.vercel.app/modules/15-fde-case-studies/knowledge-retrieval/nl-over-governed-data" TargetMode="External" Id="rId36"/><Relationship Type="http://schemas.openxmlformats.org/officeDocument/2006/relationships/hyperlink" Target="https://forward-deployed-sigma.vercel.app/modules/15-fde-case-studies/agents-that-act/customer-support-automation" TargetMode="External" Id="rId37"/><Relationship Type="http://schemas.openxmlformats.org/officeDocument/2006/relationships/hyperlink" Target="https://forward-deployed-sigma.vercel.app/modules/15-fde-case-studies/knowledge-retrieval/enterprise-knowledge-assistant" TargetMode="External" Id="rId38"/><Relationship Type="http://schemas.openxmlformats.org/officeDocument/2006/relationships/hyperlink" Target="https://forward-deployed-sigma.vercel.app/modules/15-fde-case-studies/agents-that-act/customer-support-automation" TargetMode="External" Id="rId39"/><Relationship Type="http://schemas.openxmlformats.org/officeDocument/2006/relationships/hyperlink" Target="https://forward-deployed-sigma.vercel.app/modules/15-fde-case-studies/agents-that-act/sales-copilot" TargetMode="External" Id="rId40"/><Relationship Type="http://schemas.openxmlformats.org/officeDocument/2006/relationships/hyperlink" Target="https://forward-deployed-sigma.vercel.app/modules/15-fde-case-studies/platforms-and-scale/secure-multi-tenant-ai-platform" TargetMode="External" Id="rId41"/><Relationship Type="http://schemas.openxmlformats.org/officeDocument/2006/relationships/hyperlink" Target="https://forward-deployed-sigma.vercel.app/modules/15-fde-case-studies/platforms-and-scale/high-volume-batch-pipeline" TargetMode="External" Id="rId42"/><Relationship Type="http://schemas.openxmlformats.org/officeDocument/2006/relationships/hyperlink" Target="https://forward-deployed-sigma.vercel.app/modules/15-fde-case-studies/agents-that-act/real-time-call-assistant" TargetMode="External" Id="rId43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44"/><Relationship Type="http://schemas.openxmlformats.org/officeDocument/2006/relationships/hyperlink" Target="https://forward-deployed-sigma.vercel.app/modules/15-fde-case-studies/knowledge-retrieval/enterprise-knowledge-assistant" TargetMode="External" Id="rId45"/><Relationship Type="http://schemas.openxmlformats.org/officeDocument/2006/relationships/hyperlink" Target="https://forward-deployed-sigma.vercel.app/modules/15-fde-case-studies/agents-that-act/customer-support-automation" TargetMode="External" Id="rId46"/><Relationship Type="http://schemas.openxmlformats.org/officeDocument/2006/relationships/hyperlink" Target="https://forward-deployed-sigma.vercel.app/modules/15-fde-case-studies/knowledge-retrieval/document-review-copilot" TargetMode="External" Id="rId47"/><Relationship Type="http://schemas.openxmlformats.org/officeDocument/2006/relationships/hyperlink" Target="https://forward-deployed-sigma.vercel.app/modules/15-fde-case-studies/agents-that-act/sales-copilot" TargetMode="External" Id="rId48"/><Relationship Type="http://schemas.openxmlformats.org/officeDocument/2006/relationships/hyperlink" Target="https://forward-deployed-sigma.vercel.app/modules/15-fde-case-studies/platforms-and-scale/high-volume-batch-pipeline" TargetMode="External" Id="rId49"/><Relationship Type="http://schemas.openxmlformats.org/officeDocument/2006/relationships/hyperlink" Target="https://forward-deployed-sigma.vercel.app/modules/15-fde-case-studies/agents-that-act/tool-using-agent-with-safety-controls" TargetMode="External" Id="rId50"/><Relationship Type="http://schemas.openxmlformats.org/officeDocument/2006/relationships/hyperlink" Target="https://forward-deployed-sigma.vercel.app/modules/15-fde-case-studies/agents-that-act/enterprise-coding-assistant" TargetMode="External" Id="rId51"/><Relationship Type="http://schemas.openxmlformats.org/officeDocument/2006/relationships/hyperlink" Target="https://forward-deployed-sigma.vercel.app/modules/15-fde-case-studies/delivery-evaluation-operations/evaluation-and-release-gating" TargetMode="External" Id="rId52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53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54"/><Relationship Type="http://schemas.openxmlformats.org/officeDocument/2006/relationships/hyperlink" Target="https://forward-deployed-sigma.vercel.app/modules/15-fde-case-studies/delivery-evaluation-operations/evaluation-and-release-gating" TargetMode="External" Id="rId55"/><Relationship Type="http://schemas.openxmlformats.org/officeDocument/2006/relationships/hyperlink" Target="https://forward-deployed-sigma.vercel.app/modules/15-fde-case-studies/knowledge-retrieval/document-review-copilot" TargetMode="External" Id="rId56"/><Relationship Type="http://schemas.openxmlformats.org/officeDocument/2006/relationships/hyperlink" Target="https://forward-deployed-sigma.vercel.app/modules/15-fde-case-studies/knowledge-retrieval/enterprise-knowledge-assistant" TargetMode="External" Id="rId57"/><Relationship Type="http://schemas.openxmlformats.org/officeDocument/2006/relationships/hyperlink" Target="https://forward-deployed-sigma.vercel.app/modules/15-fde-case-studies/agents-that-act/sre-incident-response-agent" TargetMode="External" Id="rId58"/><Relationship Type="http://schemas.openxmlformats.org/officeDocument/2006/relationships/hyperlink" Target="https://forward-deployed-sigma.vercel.app/modules/15-fde-case-studies/agents-that-act/real-time-call-assistant" TargetMode="External" Id="rId59"/><Relationship Type="http://schemas.openxmlformats.org/officeDocument/2006/relationships/hyperlink" Target="https://forward-deployed-sigma.vercel.app/modules/15-fde-case-studies/judgement-and-decomposition/prioritize-ai-use-cases" TargetMode="External" Id="rId60"/><Relationship Type="http://schemas.openxmlformats.org/officeDocument/2006/relationships/hyperlink" Target="https://forward-deployed-sigma.vercel.app/modules/15-fde-case-studies/judgement-and-decomposition/scale-prototype-to-production" TargetMode="External" Id="rId61"/><Relationship Type="http://schemas.openxmlformats.org/officeDocument/2006/relationships/hyperlink" Target="https://forward-deployed-sigma.vercel.app/modules/15-fde-case-studies/judgement-and-decomposition/build-when-customer-data-is-poor" TargetMode="External" Id="rId62"/><Relationship Type="http://schemas.openxmlformats.org/officeDocument/2006/relationships/hyperlink" Target="https://forward-deployed-sigma.vercel.app/modules/15-fde-case-studies/knowledge-retrieval/enterprise-knowledge-assistant" TargetMode="External" Id="rId63"/><Relationship Type="http://schemas.openxmlformats.org/officeDocument/2006/relationships/hyperlink" Target="https://forward-deployed-sigma.vercel.app/modules/15-fde-case-studies/platforms-and-scale/agent-platform-for-non-technical-users" TargetMode="External" Id="rId64"/><Relationship Type="http://schemas.openxmlformats.org/officeDocument/2006/relationships/hyperlink" Target="https://forward-deployed-sigma.vercel.app/modules/15-fde-case-studies/delivery-evaluation-operations/scoping-to-deployed-agent" TargetMode="External" Id="rId65"/><Relationship Type="http://schemas.openxmlformats.org/officeDocument/2006/relationships/hyperlink" Target="https://forward-deployed-sigma.vercel.app/modules/15-fde-case-studies/agents-that-act/logistics-exception-handling" TargetMode="External" Id="rId66"/><Relationship Type="http://schemas.openxmlformats.org/officeDocument/2006/relationships/hyperlink" Target="https://forward-deployed-sigma.vercel.app/modules/15-fde-case-studies/judgement-and-decomposition/decomposition-classics-67-68-69" TargetMode="External" Id="rId67"/><Relationship Type="http://schemas.openxmlformats.org/officeDocument/2006/relationships/hyperlink" Target="https://forward-deployed-sigma.vercel.app/modules/15-fde-case-studies/judgement-and-decomposition/decomposition-classics-67-68-69" TargetMode="External" Id="rId68"/><Relationship Type="http://schemas.openxmlformats.org/officeDocument/2006/relationships/hyperlink" Target="https://forward-deployed-sigma.vercel.app/modules/15-fde-case-studies/judgement-and-decomposition/decomposition-classics-67-68-69" TargetMode="External" Id="rId69"/><Relationship Type="http://schemas.openxmlformats.org/officeDocument/2006/relationships/hyperlink" Target="https://forward-deployed-sigma.vercel.app/modules/15-fde-case-studies/knowledge-retrieval/enterprise-knowledge-assistant" TargetMode="External" Id="rId70"/><Relationship Type="http://schemas.openxmlformats.org/officeDocument/2006/relationships/hyperlink" Target="https://forward-deployed-sigma.vercel.app/modules/15-fde-case-studies/platforms-and-scale/consumer-scale-chat-service" TargetMode="External" Id="rId71"/><Relationship Type="http://schemas.openxmlformats.org/officeDocument/2006/relationships/hyperlink" Target="https://forward-deployed-sigma.vercel.app/modules/15-fde-case-studies/knowledge-retrieval/enterprise-knowledge-assistant" TargetMode="External" Id="rId72"/><Relationship Type="http://schemas.openxmlformats.org/officeDocument/2006/relationships/hyperlink" Target="https://forward-deployed-sigma.vercel.app/modules/15-fde-case-studies/model-development/model-development-and-post-training" TargetMode="External" Id="rId73"/><Relationship Type="http://schemas.openxmlformats.org/officeDocument/2006/relationships/hyperlink" Target="https://forward-deployed-sigma.vercel.app/modules/15-fde-case-studies/platforms-and-scale/llm-inference-serving" TargetMode="External" Id="rId74"/><Relationship Type="http://schemas.openxmlformats.org/officeDocument/2006/relationships/hyperlink" Target="https://forward-deployed-sigma.vercel.app/modules/15-fde-case-studies/platforms-and-scale/llm-inference-serving" TargetMode="External" Id="rId75"/><Relationship Type="http://schemas.openxmlformats.org/officeDocument/2006/relationships/hyperlink" Target="https://forward-deployed-sigma.vercel.app/modules/15-fde-case-studies/platforms-and-scale/llm-inference-serving" TargetMode="External" Id="rId76"/><Relationship Type="http://schemas.openxmlformats.org/officeDocument/2006/relationships/hyperlink" Target="https://forward-deployed-sigma.vercel.app/modules/15-fde-case-studies/platforms-and-scale/llm-inference-serving" TargetMode="External" Id="rId77"/><Relationship Type="http://schemas.openxmlformats.org/officeDocument/2006/relationships/hyperlink" Target="https://forward-deployed-sigma.vercel.app/modules/15-fde-case-studies/platforms-and-scale/consumer-scale-chat-service" TargetMode="External" Id="rId78"/><Relationship Type="http://schemas.openxmlformats.org/officeDocument/2006/relationships/hyperlink" Target="https://forward-deployed-sigma.vercel.app/modules/15-fde-case-studies/platforms-and-scale/llm-inference-serving" TargetMode="External" Id="rId79"/><Relationship Type="http://schemas.openxmlformats.org/officeDocument/2006/relationships/hyperlink" Target="https://forward-deployed-sigma.vercel.app/modules/15-fde-case-studies/standalone-designs/self-adapting-agent" TargetMode="External" Id="rId80"/><Relationship Type="http://schemas.openxmlformats.org/officeDocument/2006/relationships/hyperlink" Target="https://forward-deployed-sigma.vercel.app/modules/15-fde-case-studies/model-development/model-development-and-post-training" TargetMode="External" Id="rId81"/><Relationship Type="http://schemas.openxmlformats.org/officeDocument/2006/relationships/hyperlink" Target="https://forward-deployed-sigma.vercel.app/modules/15-fde-case-studies/agents-that-act/tool-using-agent-with-safety-controls" TargetMode="External" Id="rId82"/><Relationship Type="http://schemas.openxmlformats.org/officeDocument/2006/relationships/hyperlink" Target="https://forward-deployed-sigma.vercel.app/modules/15-fde-case-studies/model-development/model-development-and-post-training" TargetMode="External" Id="rId83"/><Relationship Type="http://schemas.openxmlformats.org/officeDocument/2006/relationships/hyperlink" Target="https://forward-deployed-sigma.vercel.app/modules/15-fde-case-studies/model-development/model-development-and-post-training" TargetMode="External" Id="rId84"/><Relationship Type="http://schemas.openxmlformats.org/officeDocument/2006/relationships/hyperlink" Target="https://forward-deployed-sigma.vercel.app/modules/15-fde-case-studies/platforms-and-scale/secure-multi-tenant-ai-platform" TargetMode="External" Id="rId85"/><Relationship Type="http://schemas.openxmlformats.org/officeDocument/2006/relationships/hyperlink" Target="https://forward-deployed-sigma.vercel.app/modules/15-fde-case-studies/knowledge-retrieval/enterprise-knowledge-assistant" TargetMode="External" Id="rId86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87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88"/><Relationship Type="http://schemas.openxmlformats.org/officeDocument/2006/relationships/hyperlink" Target="https://forward-deployed-sigma.vercel.app/modules/15-fde-case-studies/knowledge-retrieval/document-review-copilot" TargetMode="External" Id="rId89"/><Relationship Type="http://schemas.openxmlformats.org/officeDocument/2006/relationships/hyperlink" Target="https://forward-deployed-sigma.vercel.app/modules/15-fde-case-studies/agents-that-act/tool-using-agent-with-safety-controls" TargetMode="External" Id="rId90"/><Relationship Type="http://schemas.openxmlformats.org/officeDocument/2006/relationships/hyperlink" Target="https://forward-deployed-sigma.vercel.app/modules/15-fde-case-studies/delivery-evaluation-operations/evaluation-and-release-gating" TargetMode="External" Id="rId91"/><Relationship Type="http://schemas.openxmlformats.org/officeDocument/2006/relationships/hyperlink" Target="https://forward-deployed-sigma.vercel.app/modules/15-fde-case-studies/knowledge-retrieval/document-review-copilot" TargetMode="External" Id="rId92"/><Relationship Type="http://schemas.openxmlformats.org/officeDocument/2006/relationships/hyperlink" Target="https://forward-deployed-sigma.vercel.app/modules/15-fde-case-studies/knowledge-retrieval/enterprise-knowledge-assistant" TargetMode="External" Id="rId93"/><Relationship Type="http://schemas.openxmlformats.org/officeDocument/2006/relationships/hyperlink" Target="https://forward-deployed-sigma.vercel.app/modules/15-fde-case-studies/knowledge-retrieval/enterprise-knowledge-assistant" TargetMode="External" Id="rId94"/><Relationship Type="http://schemas.openxmlformats.org/officeDocument/2006/relationships/hyperlink" Target="https://forward-deployed-sigma.vercel.app/modules/15-fde-case-studies/agents-that-act/customer-support-automation" TargetMode="External" Id="rId95"/><Relationship Type="http://schemas.openxmlformats.org/officeDocument/2006/relationships/hyperlink" Target="https://forward-deployed-sigma.vercel.app/modules/15-fde-case-studies/agents-that-act/customer-support-automation" TargetMode="External" Id="rId96"/><Relationship Type="http://schemas.openxmlformats.org/officeDocument/2006/relationships/hyperlink" Target="https://forward-deployed-sigma.vercel.app/modules/15-fde-case-studies/agents-that-act/customer-support-automation" TargetMode="External" Id="rId97"/><Relationship Type="http://schemas.openxmlformats.org/officeDocument/2006/relationships/hyperlink" Target="https://forward-deployed-sigma.vercel.app/modules/15-fde-case-studies/standalone-designs/personal-assistant-with-memory" TargetMode="External" Id="rId98"/><Relationship Type="http://schemas.openxmlformats.org/officeDocument/2006/relationships/hyperlink" Target="https://forward-deployed-sigma.vercel.app/modules/15-fde-case-studies/agents-that-act/customer-support-automation" TargetMode="External" Id="rId99"/><Relationship Type="http://schemas.openxmlformats.org/officeDocument/2006/relationships/hyperlink" Target="https://forward-deployed-sigma.vercel.app/modules/15-fde-case-studies/standalone-designs/production-llm-gateway" TargetMode="External" Id="rId100"/><Relationship Type="http://schemas.openxmlformats.org/officeDocument/2006/relationships/hyperlink" Target="https://forward-deployed-sigma.vercel.app/modules/15-fde-case-studies/agents-that-act/customer-support-automation" TargetMode="External" Id="rId101"/><Relationship Type="http://schemas.openxmlformats.org/officeDocument/2006/relationships/hyperlink" Target="https://forward-deployed-sigma.vercel.app/modules/15-fde-case-studies/agents-that-act/customer-support-automation" TargetMode="External" Id="rId102"/><Relationship Type="http://schemas.openxmlformats.org/officeDocument/2006/relationships/hyperlink" Target="https://forward-deployed-sigma.vercel.app/modules/15-fde-case-studies/knowledge-retrieval/deep-research-agent" TargetMode="External" Id="rId103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104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105"/><Relationship Type="http://schemas.openxmlformats.org/officeDocument/2006/relationships/hyperlink" Target="https://forward-deployed-sigma.vercel.app/modules/15-fde-case-studies/knowledge-retrieval/enterprise-knowledge-assistant" TargetMode="External" Id="rId106"/><Relationship Type="http://schemas.openxmlformats.org/officeDocument/2006/relationships/hyperlink" Target="https://forward-deployed-sigma.vercel.app/modules/15-fde-case-studies/agents-that-act/tool-using-agent-with-safety-controls" TargetMode="External" Id="rId107"/><Relationship Type="http://schemas.openxmlformats.org/officeDocument/2006/relationships/hyperlink" Target="https://forward-deployed-sigma.vercel.app/modules/15-fde-case-studies/platforms-and-scale/secure-multi-tenant-ai-platform" TargetMode="External" Id="rId108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109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110"/><Relationship Type="http://schemas.openxmlformats.org/officeDocument/2006/relationships/hyperlink" Target="https://forward-deployed-sigma.vercel.app/modules/15-fde-case-studies/knowledge-retrieval/enterprise-knowledge-assistant" TargetMode="External" Id="rId111"/><Relationship Type="http://schemas.openxmlformats.org/officeDocument/2006/relationships/hyperlink" Target="https://forward-deployed-sigma.vercel.app/modules/15-fde-case-studies/knowledge-retrieval/enterprise-knowledge-assistant" TargetMode="External" Id="rId112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113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114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115"/><Relationship Type="http://schemas.openxmlformats.org/officeDocument/2006/relationships/hyperlink" Target="https://forward-deployed-sigma.vercel.app/modules/15-fde-case-studies/platforms-and-scale/high-volume-batch-pipeline" TargetMode="External" Id="rId116"/><Relationship Type="http://schemas.openxmlformats.org/officeDocument/2006/relationships/hyperlink" Target="https://forward-deployed-sigma.vercel.app/modules/15-fde-case-studies/knowledge-retrieval/enterprise-knowledge-assistant" TargetMode="External" Id="rId117"/><Relationship Type="http://schemas.openxmlformats.org/officeDocument/2006/relationships/hyperlink" Target="https://forward-deployed-sigma.vercel.app/modules/15-fde-case-studies/agents-that-act/tool-using-agent-with-safety-controls" TargetMode="External" Id="rId118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119"/><Relationship Type="http://schemas.openxmlformats.org/officeDocument/2006/relationships/hyperlink" Target="https://forward-deployed-sigma.vercel.app/modules/15-fde-case-studies/delivery-evaluation-operations/evaluation-and-release-gating" TargetMode="External" Id="rId120"/><Relationship Type="http://schemas.openxmlformats.org/officeDocument/2006/relationships/hyperlink" Target="https://forward-deployed-sigma.vercel.app/modules/15-fde-case-studies/delivery-evaluation-operations/observability-and-production-diagnosis" TargetMode="External" Id="rId121"/><Relationship Type="http://schemas.openxmlformats.org/officeDocument/2006/relationships/table" Target="/xl/tables/table1.xml" Id="rId1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</cols>
  <sheetData>
    <row r="1">
      <c r="A1" s="1" t="inlineStr">
        <is>
          <t>Case-study coverage in 06_Interview_Prep — summary</t>
        </is>
      </c>
      <c r="B1" s="2" t="n"/>
    </row>
    <row r="2">
      <c r="A2" s="2" t="n"/>
      <c r="B2" s="2" t="n"/>
    </row>
    <row r="3">
      <c r="A3" s="3" t="inlineStr">
        <is>
          <t>Category</t>
        </is>
      </c>
      <c r="B3" s="3" t="inlineStr">
        <is>
          <t>Count</t>
        </is>
      </c>
    </row>
    <row r="4">
      <c r="A4" s="2" t="inlineStr">
        <is>
          <t>Worked system design</t>
        </is>
      </c>
      <c r="B4" s="2">
        <f>COUNTIF('Case Studies'!$B:$B,A4)</f>
        <v/>
      </c>
    </row>
    <row r="5">
      <c r="A5" s="2" t="inlineStr">
        <is>
          <t>Worksheet + answer key</t>
        </is>
      </c>
      <c r="B5" s="2">
        <f>COUNTIF('Case Studies'!$B:$B,A5)</f>
        <v/>
      </c>
    </row>
    <row r="6">
      <c r="A6" s="2" t="inlineStr">
        <is>
          <t>Mock interview</t>
        </is>
      </c>
      <c r="B6" s="2">
        <f>COUNTIF('Case Studies'!$B:$B,A6)</f>
        <v/>
      </c>
    </row>
    <row r="7">
      <c r="A7" s="2" t="inlineStr">
        <is>
          <t>Cost/latency drill case</t>
        </is>
      </c>
      <c r="B7" s="2">
        <f>COUNTIF('Case Studies'!$B:$B,A7)</f>
        <v/>
      </c>
    </row>
    <row r="8">
      <c r="A8" s="2" t="inlineStr">
        <is>
          <t>Decomposition prompt</t>
        </is>
      </c>
      <c r="B8" s="2">
        <f>COUNTIF('Case Studies'!$B:$B,A8)</f>
        <v/>
      </c>
    </row>
    <row r="9">
      <c r="A9" s="2" t="inlineStr">
        <is>
          <t>Running module case</t>
        </is>
      </c>
      <c r="B9" s="2">
        <f>COUNTIF('Case Studies'!$B:$B,A9)</f>
        <v/>
      </c>
    </row>
    <row r="10">
      <c r="A10" s="2" t="inlineStr">
        <is>
          <t>Reported prompt</t>
        </is>
      </c>
      <c r="B10" s="2">
        <f>COUNTIF('Case Studies'!$B:$B,A10)</f>
        <v/>
      </c>
    </row>
    <row r="11">
      <c r="A11" s="2" t="inlineStr">
        <is>
          <t>Incident scenario</t>
        </is>
      </c>
      <c r="B11" s="2">
        <f>COUNTIF('Case Studies'!$B:$B,A11)</f>
        <v/>
      </c>
    </row>
    <row r="12">
      <c r="A12" s="2" t="inlineStr">
        <is>
          <t>Study-guide mock design</t>
        </is>
      </c>
      <c r="B12" s="2">
        <f>COUNTIF('Case Studies'!$B:$B,A12)</f>
        <v/>
      </c>
    </row>
    <row r="13">
      <c r="A13" s="2" t="inlineStr">
        <is>
          <t>Cost/latency production scenario</t>
        </is>
      </c>
      <c r="B13" s="2">
        <f>COUNTIF('Case Studies'!$B:$B,A13)</f>
        <v/>
      </c>
    </row>
    <row r="14">
      <c r="A14" s="3" t="inlineStr">
        <is>
          <t>Total named cases</t>
        </is>
      </c>
      <c r="B14" s="3">
        <f>SUM(B4:B13)</f>
        <v/>
      </c>
    </row>
    <row r="15">
      <c r="A15" s="2" t="inlineStr">
        <is>
          <t>Check: rows in Case Studies sheet</t>
        </is>
      </c>
      <c r="B15" s="2">
        <f>COUNTA('Case Studies'!$A:$A)-1</f>
        <v/>
      </c>
    </row>
    <row r="16">
      <c r="A16" s="2" t="inlineStr">
        <is>
          <t>Vendor PDF casebooks (not enumerated)</t>
        </is>
      </c>
      <c r="B16" s="2">
        <f>COUNTA('PDF Casebooks'!$A:$A)-1</f>
        <v/>
      </c>
    </row>
    <row r="17">
      <c r="A17" s="2" t="n"/>
      <c r="B17" s="2" t="n"/>
    </row>
    <row r="18">
      <c r="A18" s="3" t="inlineStr">
        <is>
          <t>By collection</t>
        </is>
      </c>
      <c r="B18" s="2" t="n"/>
    </row>
    <row r="19">
      <c r="A19" s="3" t="inlineStr">
        <is>
          <t>Collection</t>
        </is>
      </c>
      <c r="B19" s="3" t="inlineStr">
        <is>
          <t>Count</t>
        </is>
      </c>
    </row>
    <row r="20">
      <c r="A20" s="2" t="inlineStr">
        <is>
          <t>Handbook Module 09 — AI System Design Casebook</t>
        </is>
      </c>
      <c r="B20" s="2">
        <f>COUNTIF('Case Studies'!$D:$D,A20)</f>
        <v/>
      </c>
    </row>
    <row r="21">
      <c r="A21" s="2" t="inlineStr">
        <is>
          <t>Handbook Module 09 — 60-minute whiteboard scripts</t>
        </is>
      </c>
      <c r="B21" s="2">
        <f>COUNTIF('Case Studies'!$D:$D,A21)</f>
        <v/>
      </c>
    </row>
    <row r="22">
      <c r="A22" s="2" t="inlineStr">
        <is>
          <t>Cracking Agentic AI System Design Interviews — Ch 28</t>
        </is>
      </c>
      <c r="B22" s="2">
        <f>COUNTIF('Case Studies'!$D:$D,A22)</f>
        <v/>
      </c>
    </row>
    <row r="23">
      <c r="A23" s="2" t="inlineStr">
        <is>
          <t>Handbook Module 07 — Multi-Agent Systems</t>
        </is>
      </c>
      <c r="B23" s="2">
        <f>COUNTIF('Case Studies'!$D:$D,A23)</f>
        <v/>
      </c>
    </row>
    <row r="24">
      <c r="A24" s="2" t="inlineStr">
        <is>
          <t>Handbook Module 02 — System Design Fundamentals</t>
        </is>
      </c>
      <c r="B24" s="2">
        <f>COUNTIF('Case Studies'!$D:$D,A24)</f>
        <v/>
      </c>
    </row>
    <row r="25">
      <c r="A25" s="2" t="inlineStr">
        <is>
          <t>FDE System Design Interview — 20 Scenarios (Version 3)</t>
        </is>
      </c>
      <c r="B25" s="2">
        <f>COUNTIF('Case Studies'!$D:$D,A25)</f>
        <v/>
      </c>
    </row>
    <row r="26">
      <c r="A26" s="2" t="inlineStr">
        <is>
          <t>Complete GEN AI FDE Interview System — Module 01 worksheets</t>
        </is>
      </c>
      <c r="B26" s="2">
        <f>COUNTIF('Case Studies'!$D:$D,A26)</f>
        <v/>
      </c>
    </row>
    <row r="27">
      <c r="A27" s="2" t="inlineStr">
        <is>
          <t>Complete GEN AI FDE Interview System — Module 07 mocks</t>
        </is>
      </c>
      <c r="B27" s="2">
        <f>COUNTIF('Case Studies'!$D:$D,A27)</f>
        <v/>
      </c>
    </row>
    <row r="28">
      <c r="A28" s="2" t="inlineStr">
        <is>
          <t>Study Guides — Cost &amp; Latency Optimization (§16)</t>
        </is>
      </c>
      <c r="B28" s="2">
        <f>COUNTIF('Case Studies'!$D:$D,A28)</f>
        <v/>
      </c>
    </row>
    <row r="29">
      <c r="A29" s="2" t="inlineStr">
        <is>
          <t>OpenAI Applied — Problem Decomposition question bank</t>
        </is>
      </c>
      <c r="B29" s="2">
        <f>COUNTIF('Case Studies'!$D:$D,A29)</f>
        <v/>
      </c>
    </row>
    <row r="30">
      <c r="A30" s="2" t="inlineStr">
        <is>
          <t>Handbook Module 04 — Enterprise RAG</t>
        </is>
      </c>
      <c r="B30" s="2">
        <f>COUNTIF('Case Studies'!$D:$D,A30)</f>
        <v/>
      </c>
    </row>
    <row r="31">
      <c r="A31" s="2" t="inlineStr">
        <is>
          <t>Handbook Module 05 — Agentic Workflow Platforms</t>
        </is>
      </c>
      <c r="B31" s="2">
        <f>COUNTIF('Case Studies'!$D:$D,A31)</f>
        <v/>
      </c>
    </row>
    <row r="32">
      <c r="A32" s="2" t="inlineStr">
        <is>
          <t>Handbook Module 10 — FDE Delivery Operating Model</t>
        </is>
      </c>
      <c r="B32" s="2">
        <f>COUNTIF('Case Studies'!$D:$D,A32)</f>
        <v/>
      </c>
    </row>
    <row r="33">
      <c r="A33" s="2" t="inlineStr">
        <is>
          <t>OpenAI Applied — 19 reported prompts (decomposition interview prep HTML, Tier 1)</t>
        </is>
      </c>
      <c r="B33" s="2">
        <f>COUNTIF('Case Studies'!$D:$D,A33)</f>
        <v/>
      </c>
    </row>
    <row r="34">
      <c r="A34" s="2" t="inlineStr">
        <is>
          <t>Complete GEN AI FDE Interview System — Module 05 production incident logs</t>
        </is>
      </c>
      <c r="B34" s="2">
        <f>COUNTIF('Case Studies'!$D:$D,A34)</f>
        <v/>
      </c>
    </row>
    <row r="35">
      <c r="A35" s="2" t="inlineStr">
        <is>
          <t>Study Guides — interview tutorials, mock system design section</t>
        </is>
      </c>
      <c r="B35" s="2">
        <f>COUNTIF('Case Studies'!$D:$D,A35)</f>
        <v/>
      </c>
    </row>
    <row r="36">
      <c r="A36" s="2" t="inlineStr">
        <is>
          <t>Study Guides — Cost &amp; Latency Optimization (§15, 15 production scenarios)</t>
        </is>
      </c>
      <c r="B36" s="2">
        <f>COUNTIF('Case Studies'!$D:$D,A36)</f>
        <v/>
      </c>
    </row>
    <row r="37">
      <c r="A37" s="2" t="inlineStr">
        <is>
          <t>Study Guides — Cost &amp; Latency Optimization (additions beyond the playbook, section E)</t>
        </is>
      </c>
      <c r="B37" s="2">
        <f>COUNTIF('Case Studies'!$D:$D,A37)</f>
        <v/>
      </c>
    </row>
    <row r="38">
      <c r="A38" s="3" t="inlineStr">
        <is>
          <t>Total</t>
        </is>
      </c>
      <c r="B38" s="3">
        <f>SUM(B20:B37)</f>
        <v/>
      </c>
    </row>
    <row r="39">
      <c r="A39" s="2" t="n"/>
      <c r="B39" s="2" t="n"/>
    </row>
    <row r="40" ht="75" customHeight="1">
      <c r="A40" s="4" t="inlineStr">
        <is>
          <t>Notes: counts are live COUNTIF formulas over the Case Studies sheet. Duplicated copies (older System_Design and Delivery folder, Handbook/11 stories, site/content mirror) are recorded in 'Also appears in', not as separate rows. Git tracking: every .md is tracked; vendor PDF/docx under FDE/ are excluded by the path-anchored .gitignore rule. Built 2026-09-23.</t>
        </is>
      </c>
    </row>
    <row r="42">
      <c r="A42" s="3" t="inlineStr">
        <is>
          <t>Grouping</t>
        </is>
      </c>
    </row>
    <row r="43">
      <c r="A43" s="2" t="inlineStr">
        <is>
          <t>Groups of near-identical cases</t>
        </is>
      </c>
      <c r="B43" s="2">
        <f>COUNTA(Groups!$A:$A)-2</f>
        <v/>
      </c>
    </row>
    <row r="44">
      <c r="A44" s="2" t="inlineStr">
        <is>
          <t>Anchor cases to prepare (one per group)</t>
        </is>
      </c>
      <c r="B44" s="2">
        <f>COUNTIF('Case Studies'!$D:$D,"ANCHOR — prepare this")</f>
        <v/>
      </c>
    </row>
    <row r="45">
      <c r="A45" s="2" t="inlineStr">
        <is>
          <t>Cases covered by an anchor (read delta only)</t>
        </is>
      </c>
      <c r="B45" s="2">
        <f>COUNTIF('Case Studies'!$D:$D,"Covered by anchor — read delta only")</f>
        <v/>
      </c>
    </row>
    <row r="46">
      <c r="A46" s="2" t="inlineStr">
        <is>
          <t>Cost/latency questions on a grouped system (7 drills + 18 production scenarios + 2 latency prompts)</t>
        </is>
      </c>
      <c r="B46" s="2">
        <f>COUNTIF('Case Studies'!$D:$D,"Same system, cost/latency question — 10-min add-on")</f>
        <v/>
      </c>
    </row>
    <row r="47">
      <c r="A47" s="2" t="inlineStr">
        <is>
          <t>Standalone cases to prepare on their own</t>
        </is>
      </c>
      <c r="B47" s="2">
        <f>COUNTIF('Case Studies'!$D:$D,"Prepare on its own")</f>
        <v/>
      </c>
    </row>
    <row r="48">
      <c r="A48" s="3" t="inlineStr">
        <is>
          <t>Distinct preparations needed (anchors + standalone)</t>
        </is>
      </c>
      <c r="B48" s="3">
        <f>B44+B47</f>
        <v/>
      </c>
    </row>
    <row r="49">
      <c r="A49" s="2" t="inlineStr">
        <is>
          <t>Check: roles sum to all cases</t>
        </is>
      </c>
      <c r="B49" s="2">
        <f>B44+B45+B46+B47</f>
        <v/>
      </c>
    </row>
    <row r="50">
      <c r="A50" s="2" t="inlineStr">
        <is>
          <t>Playbook cost/latency drills attached to an anchor (Drill Add-ons tab)</t>
        </is>
      </c>
      <c r="B50" s="2">
        <f>COUNTIF('Drill Add-ons'!$I:$I,"Playbook")</f>
        <v/>
      </c>
    </row>
    <row r="51">
      <c r="A51" s="2" t="inlineStr">
        <is>
          <t>Self-drills written for anchors with no playbook case (Drill Add-ons tab)</t>
        </is>
      </c>
      <c r="B51" s="2">
        <f>COUNTIF('Drill Add-ons'!$I:$I,"Self-drill")</f>
        <v/>
      </c>
    </row>
    <row r="52">
      <c r="A52" s="2" t="inlineStr">
        <is>
          <t>Anchors with a cost/latency angle prepared (should equal 16)</t>
        </is>
      </c>
      <c r="B52" s="2">
        <f>B50+B51</f>
        <v/>
      </c>
    </row>
    <row r="53">
      <c r="A53" s="2" t="inlineStr">
        <is>
          <t>Cases with a prep pack linked (Case Studies, Prep pack column)</t>
        </is>
      </c>
      <c r="B53" s="2">
        <f>COUNTA('Case Studies'!$N:$N)-1</f>
        <v/>
      </c>
    </row>
    <row r="54">
      <c r="A54" s="2" t="inlineStr">
        <is>
          <t>Standalone cases with a pack in Case_Study_Groups/Standalone/</t>
        </is>
      </c>
      <c r="B54" s="2">
        <f>COUNTIF('Case Studies'!$N:$N,"Standalone/*")</f>
        <v/>
      </c>
    </row>
    <row r="55">
      <c r="A55" s="2" t="inlineStr">
        <is>
          <t>Cases with a live site page (Case Studies, Site page column)</t>
        </is>
      </c>
      <c r="B55" s="2">
        <f>COUNTIF('Case Studies'!$O:$O,"https://*")</f>
        <v/>
      </c>
    </row>
  </sheetData>
  <mergeCells count="1"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44" customWidth="1" min="3" max="3"/>
    <col width="22" customWidth="1" min="4" max="4"/>
    <col width="60" customWidth="1" min="5" max="5"/>
    <col width="80" customWidth="1" min="6" max="6"/>
    <col width="40" customWidth="1" min="7" max="7"/>
    <col width="42" customWidth="1" min="8" max="8"/>
    <col width="70" customWidth="1" min="9" max="9"/>
  </cols>
  <sheetData>
    <row r="1">
      <c r="A1" s="5" t="inlineStr">
        <is>
          <t>Group</t>
        </is>
      </c>
      <c r="B1" s="5" t="inlineStr">
        <is>
          <t>Prepare this (#)</t>
        </is>
      </c>
      <c r="C1" s="5" t="inlineStr">
        <is>
          <t>Anchor case</t>
        </is>
      </c>
      <c r="D1" s="5" t="inlineStr">
        <is>
          <t>Members (#)</t>
        </is>
      </c>
      <c r="E1" s="5" t="inlineStr">
        <is>
          <t>Why these are the same case</t>
        </is>
      </c>
      <c r="F1" s="5" t="inlineStr">
        <is>
          <t>Other members — what to read beyond the anchor</t>
        </is>
      </c>
      <c r="G1" s="5" t="inlineStr">
        <is>
          <t>Anchor selection rule</t>
        </is>
      </c>
      <c r="H1" s="5" t="inlineStr">
        <is>
          <t>Day-before pack (Case_Study_Groups/)</t>
        </is>
      </c>
      <c r="I1" s="5" t="inlineStr">
        <is>
          <t>Site page (Forward Deployed)</t>
        </is>
      </c>
    </row>
    <row r="2">
      <c r="A2" s="4" t="inlineStr">
        <is>
          <t>G01 Enterprise knowledge assistant (permission-aware RAG)</t>
        </is>
      </c>
      <c r="B2" s="4" t="n">
        <v>15</v>
      </c>
      <c r="C2" s="4" t="inlineStr">
        <is>
          <t>Enterprise Knowledge Assistant with RAG (book ch 1)</t>
        </is>
      </c>
      <c r="D2" s="4" t="inlineStr">
        <is>
          <t>#15, #6, #7, #27, #45, #57, #63, #38, #72, #70, #86, #93, #94, #106, #111, #112, #117</t>
        </is>
      </c>
      <c r="E2" s="4" t="inlineStr">
        <is>
          <t>Every member is 'employees ask questions over Drive/SharePoint/Slack/wiki/tickets' where the hard part is permission fidelity, freshness and citations.</t>
        </is>
      </c>
      <c r="F2" s="4" t="inlineStr">
        <is>
          <t>#6 Enterprise RAG with Access Control — 60-min whiteboard script of the same design. Use it to rehearse timing; content is the anchor's.
#7 Enterprise RAG on Databricks — Databricks/Lakehouse variant. Delta: leads with the Vector Search trap and Unity Catalog ACLs. Worth 15 min given your employer.
#27 Internal Knowledge Assistant for Enterprise Support — Purchased worksheet, templated answer key. Delta: support-agent persona and ticket-note drafting. Nothing new architecturally.
#45 Enterprise Knowledge Assistant — Question-bank version of the same prompt. Talking points only.
#57 AI Search Across Many Enterprise Data Sources — Same prompt phrased as 'unified search'. Delta: connector/indexing fan-out across 6 sources; say 'federated vs indexed' once.
#63 Meridian Assist — enterprise RAG — Running case (Meridian Assist) the anchor is built on; also your STAR story. Read once for narrative, not design.
#38 Enterprise legal RAG assistant under strict cost limits — Cost angle: legal RAG under a strict budget with citations and &lt; 8 s. See Drill Add-ons tab.
#72 Design an AI chatbot / an LLM-powered enterprise search system — Reported OpenAI prompt: 'LLM-powered enterprise search'. The anchor is the answer.
#70 Sub-100 ms LLM-powered search when the naive RAG flow is 1.5 s: walk me to 100 ms — Latency angle: 1.5 s naive RAG to sub-100 ms. Decompose the budget: cache embeddings and retrieval, pre-filter, skip rerank on cache hits, small model, stream. Say what 100 ms rules out (any LLM generation on the hot path).
#86 Stale index causes wrong prior-authorization policy answer — Incident: stale index gives a wrong policy answer. The anchor's missed-deletion failure path and reconciliation drill.
#93 Prompt injection from a retrieved Confluence article — Incident: prompt injection from a retrieved Confluence page. Retrieved content is evidence, never instructions; tool gateway blocks the exfil.
#94 Embedding-model change degrades recall through vector drift — Incident: embedding-model change causes vector drift. Re-chunking or re-embedding is a retrieval-model change: versioned index, offline eval, staged cutover.
#106 RAG retrieval became slow after adding more documents — §15 scenario 3: retrieval slow as the corpus grows. Index partitioning, ACL pre-filter, top-k discipline.
#111 Vector database query latency increased — §15 scenario 8: vector DB query latency. Filters, index type, warm caches, over-retrieval caps.
#112 Reranker improved quality but doubled latency — §15 scenario 9: reranker doubled latency. Gate the rerank: only ambiguous queries, smaller candidate set, cheaper reranker.
#117 Long context window caused poor performance — §15 scenario 14: long context hurt quality. Tight candidate set beats prompt stuffing; compress evidence.</t>
        </is>
      </c>
      <c r="G2" s="4" t="inlineStr">
        <is>
          <t>Prefer, in order: bespoke 20-Scenarios worksheet with answer key + V1/V2 tutorials &gt; Handbook/Cracking worked design or whiteboard script &gt; purchased worksheet (templated answer keys) &gt; question-bank entry &gt; cost/latency drill.</t>
        </is>
      </c>
      <c r="H2" s="4" t="inlineStr">
        <is>
          <t>G01_Enterprise_Knowledge_Assistant/</t>
        </is>
      </c>
      <c r="I2" s="11" t="inlineStr">
        <is>
          <t>https://forward-deployed-sigma.vercel.app/modules/15-fde-case-studies/knowledge-retrieval/enterprise-knowledge-assistant</t>
        </is>
      </c>
    </row>
    <row r="3">
      <c r="A3" s="4" t="inlineStr">
        <is>
          <t>G02 Customer-support automation</t>
        </is>
      </c>
      <c r="B3" s="4" t="n">
        <v>18</v>
      </c>
      <c r="C3" s="4" t="inlineStr">
        <is>
          <t>AI Customer-Support Automation (book ch 4)</t>
        </is>
      </c>
      <c r="D3" s="4" t="inlineStr">
        <is>
          <t>#18, #2, #46, #37, #35, #33, #39, #95, #96, #97, #99, #101, #102</t>
        </is>
      </c>
      <c r="E3" s="4" t="inlineStr">
        <is>
          <t>Customer/ticket comes in, assistant retrieves KB + account context, drafts or acts within policy, escalates risky cases with full context.</t>
        </is>
      </c>
      <c r="F3" s="4" t="inlineStr">
        <is>
          <t>#2 Customer Support Assistant — Casebook worked design at 1M conversations/day. Delta: three memory layers, planner justification, model routing. Read the memory + routing sections.
#46 Customer-Support Agent — Question-bank version. Talking points only.
#37 Agentic Support Workflow — Mock-interview transcript of the same system. Use for a timed run, not new content.
#35 ServiceNow Ticket Automation Agent — ITSM flavour (ServiceNow). Delta: classify/priority + assignment + KB. Same spine; mention ITIL change control.
#33 Multi-Tenant SaaS Support Assistant — Support assistant with tenant isolation as the risk. Delta: tenant predicate on every retrieval — borrow from G07 anchor.
#39 Support chatbot with 10,000 daily users — Cost angle: spend rising faster than deflection. Prepare the routing/caching answer, not the system.
#95 Real-time multilingual support-ticket triage agent — Study-guide mock (LangChain): multilingual ticket triage. Delta: language detection and routing chain.
#96 Real-time, human-gated support-ticket agent — Study-guide mock (LangGraph): human-gated ticket agent. Delta: interrupt/approval node mechanics.
#97 Real-time agentic RAG support assistant — Study-guide mock (RAG): agentic RAG support assistant. Delta: retrieval grading and rewrite loop.
#99 Real-time customer-support search over a fragmented, growing knowledge base — Study-guide mock (advanced RAG): support search over a fragmented, growing KB. Delta: parent-document and multi-index retrieval.
#101 Real-time customer-support agent for a travel booking platform — Study-guide mock (agents): travel-booking support agent. Delta: tool design for bookings and cancellations.
#102 Real-time customer-support agent over a growing knowledge base — Study-guide mock (parent-document retrieval): support agent over a growing KB. Delta: chunk-vs-parent retrieval trade-off.</t>
        </is>
      </c>
      <c r="G3" s="4" t="inlineStr"/>
      <c r="H3" s="4" t="inlineStr">
        <is>
          <t>G02_Customer_Support_Automation/</t>
        </is>
      </c>
      <c r="I3" s="11" t="inlineStr">
        <is>
          <t>https://forward-deployed-sigma.vercel.app/modules/15-fde-case-studies/agents-that-act/customer-support-automation</t>
        </is>
      </c>
    </row>
    <row r="4">
      <c r="A4" s="4" t="inlineStr">
        <is>
          <t>G03 Tool-using agent acting across enterprise systems</t>
        </is>
      </c>
      <c r="B4" s="4" t="n">
        <v>22</v>
      </c>
      <c r="C4" s="4" t="inlineStr">
        <is>
          <t>Tool-Using AI Agent with Safety Controls (book ch 11)</t>
        </is>
      </c>
      <c r="D4" s="4" t="inlineStr">
        <is>
          <t>#22, #1, #50, #82, #90, #107, #118</t>
        </is>
      </c>
      <c r="E4" s="4" t="inlineStr">
        <is>
          <t>An agent that reads requests and takes actions in CRM/ERP/email/ticketing. The interview probes authority, approval, reversibility and audit.</t>
        </is>
      </c>
      <c r="F4" s="4" t="inlineStr">
        <is>
          <t>#1 Enterprise AI Assistant over 100+ internal applications — Casebook design over 100+ internal apps. Delta: REST vs function-calling vs MCP as layers, tool registry at scale, identity propagation. Read that layering section.
#50 AI Agent for Enterprise Workflow Automation — Question-bank version (Salesforce/SAP/Jira/email). Talking points only.
#82 Architect an AI agent system: agent loop, tool interfaces, memory design, orchestration, safety — Reported Salesforce prompt: loop, tools, memory, orchestration, safety. The anchor plus #1's layering section covers it.
#90 Agent tool-call near miss on refunds above the approval threshold — Incident: refund tool called above the approval threshold. The gateway blocked it; the fix is plan-level policy before tool selection.
#107 Agent keeps calling tools repeatedly — §15 scenario 4: agent keeps calling tools. Step caps, in-request caching of tool results, deterministic routes.
#118 Tool-calling workflow times out — §15 scenario 15: tool-calling workflow times out. Per-tool timeouts, parallel read-only calls, bounded execution graph.</t>
        </is>
      </c>
      <c r="G4" s="4" t="inlineStr"/>
      <c r="H4" s="4" t="inlineStr">
        <is>
          <t>G03_Tool_Using_Agent_With_Safety_Controls/</t>
        </is>
      </c>
      <c r="I4" s="11" t="inlineStr">
        <is>
          <t>https://forward-deployed-sigma.vercel.app/modules/15-fde-case-studies/agents-that-act/tool-using-agent-with-safety-controls</t>
        </is>
      </c>
    </row>
    <row r="5">
      <c r="A5" s="4" t="inlineStr">
        <is>
          <t>G04 SRE / incident-response agent</t>
        </is>
      </c>
      <c r="B5" s="4" t="n">
        <v>11</v>
      </c>
      <c r="C5" s="4" t="inlineStr">
        <is>
          <t>Incident Response Agent for an SRE team</t>
        </is>
      </c>
      <c r="D5" s="4" t="inlineStr">
        <is>
          <t>#11, #32, #58</t>
        </is>
      </c>
      <c r="E5" s="4" t="inlineStr">
        <is>
          <t>Alert fires, agent correlates logs/metrics/traces/deploys/runbooks, proposes cause, runs only safe diagnostics unless approved.</t>
        </is>
      </c>
      <c r="F5" s="4" t="inlineStr">
        <is>
          <t>#32 SRE Incident Triage Agent — Purchased worksheet + short/full mock. Delta: none architecturally; use the mock for a timed run.
#58 AI-Powered Operations or Incident-Response Assistant — Question-bank version. Talking points only.</t>
        </is>
      </c>
      <c r="G5" s="4" t="inlineStr"/>
      <c r="H5" s="4" t="inlineStr">
        <is>
          <t>G04_SRE_Incident_Response_Agent/</t>
        </is>
      </c>
      <c r="I5" s="11" t="inlineStr">
        <is>
          <t>https://forward-deployed-sigma.vercel.app/modules/15-fde-case-studies/agents-that-act/sre-incident-response-agent</t>
        </is>
      </c>
    </row>
    <row r="6">
      <c r="A6" s="4" t="inlineStr">
        <is>
          <t>G05 Sales copilot / account research</t>
        </is>
      </c>
      <c r="B6" s="4" t="n">
        <v>28</v>
      </c>
      <c r="C6" s="4" t="inlineStr">
        <is>
          <t>Sales Copilot for Account Executives</t>
        </is>
      </c>
      <c r="D6" s="4" t="inlineStr">
        <is>
          <t>#28, #48, #40</t>
        </is>
      </c>
      <c r="E6" s="4" t="inlineStr">
        <is>
          <t>AE prepares for a meeting: account summary, opportunity risks, drafts, CRM update suggestions.</t>
        </is>
      </c>
      <c r="F6" s="4" t="inlineStr">
        <is>
          <t>#48 AI-Powered Sales or Account-Research Assistant — Question-bank version. Talking points only.
#40 Reduce latency for an agentic CRM assistant — Latency angle: account prep takes 30–45 s. Prepare parallel tool calls + pre-computation answer.</t>
        </is>
      </c>
      <c r="G6" s="4" t="inlineStr"/>
      <c r="H6" s="4" t="inlineStr">
        <is>
          <t>G05_Sales_Copilot/</t>
        </is>
      </c>
      <c r="I6" s="11" t="inlineStr">
        <is>
          <t>https://forward-deployed-sigma.vercel.app/modules/15-fde-case-studies/agents-that-act/sales-copilot</t>
        </is>
      </c>
    </row>
    <row r="7">
      <c r="A7" s="4" t="inlineStr">
        <is>
          <t>G06 Natural language over governed data (NL-to-SQL, KPI copilot)</t>
        </is>
      </c>
      <c r="B7" s="4" t="n">
        <v>17</v>
      </c>
      <c r="C7" s="4" t="inlineStr">
        <is>
          <t>Natural-Language-to-SQL Analytics Assistant (book ch 3)</t>
        </is>
      </c>
      <c r="D7" s="4" t="inlineStr">
        <is>
          <t>#17, #36, #34, #13</t>
        </is>
      </c>
      <c r="E7" s="4" t="inlineStr">
        <is>
          <t>Business users ask metric questions; the system maps them to governed definitions and must not answer the wrong question with valid SQL.</t>
        </is>
      </c>
      <c r="F7" s="4" t="inlineStr">
        <is>
          <t>#36 Executive Dashboard Copilot — Executive persona of the same system. Delta: variance explanation + escalate to analysts. 5 minutes.
#34 Retail Demand Forecast Explanation Assistant — Retail planner persona: explain forecast variance from sales/promo/weather data. Delta: driver attribution, human-reviewed actions.
#13 From Supervisor to Deep Agent — Your AIA governed-data assistant told as architecture evolution (supervisor → deep agent). Delta: multi-agent evolution; also your STAR story.</t>
        </is>
      </c>
      <c r="G7" s="4" t="inlineStr"/>
      <c r="H7" s="4" t="inlineStr">
        <is>
          <t>G06_NL_Over_Governed_Data/</t>
        </is>
      </c>
      <c r="I7" s="11" t="inlineStr">
        <is>
          <t>https://forward-deployed-sigma.vercel.app/modules/15-fde-case-studies/knowledge-retrieval/nl-over-governed-data</t>
        </is>
      </c>
    </row>
    <row r="8">
      <c r="A8" s="4" t="inlineStr">
        <is>
          <t>G07 Secure multi-tenant AI platform</t>
        </is>
      </c>
      <c r="B8" s="4" t="n">
        <v>16</v>
      </c>
      <c r="C8" s="4" t="inlineStr">
        <is>
          <t>Secure Multi-Tenant AI Platform (book ch 2)</t>
        </is>
      </c>
      <c r="D8" s="4" t="inlineStr">
        <is>
          <t>#16, #41, #85, #108</t>
        </is>
      </c>
      <c r="E8" s="4" t="inlineStr">
        <is>
          <t>One application serving hundreds of tenants; the failure is a missing tenant predicate, plus per-tenant budgets and regional controls.</t>
        </is>
      </c>
      <c r="F8" s="4" t="inlineStr">
        <is>
          <t>#41 Multi-tenant GenAI platform with per-customer budgets — Cost angle: per-customer budgets and isolation. Prepare metering + quota answer.
#85 Cross-tenant retrieval leak through a missing metadata filter — Incident: cross-tenant leak via a missing metadata filter. The anchor's tenant predicate is the fix; rehearse detect → contain → root-cause → prevent.
#108 One tenant has unusually high usage — §15 scenario 5: one tenant has unusually high usage. Per-tenant attribution, quotas, noisy-neighbour limits.</t>
        </is>
      </c>
      <c r="G8" s="4" t="inlineStr"/>
      <c r="H8" s="4" t="inlineStr">
        <is>
          <t>G07_Secure_Multi_Tenant_AI_Platform/</t>
        </is>
      </c>
      <c r="I8" s="11" t="inlineStr">
        <is>
          <t>https://forward-deployed-sigma.vercel.app/modules/15-fde-case-studies/platforms-and-scale/secure-multi-tenant-ai-platform</t>
        </is>
      </c>
    </row>
    <row r="9">
      <c r="A9" s="4" t="inlineStr">
        <is>
          <t>G08 Document review / extraction copilot with policy check</t>
        </is>
      </c>
      <c r="B9" s="4" t="n">
        <v>30</v>
      </c>
      <c r="C9" s="4" t="inlineStr">
        <is>
          <t>Healthcare Prior Authorization Assistant</t>
        </is>
      </c>
      <c r="D9" s="4" t="inlineStr">
        <is>
          <t>#30, #29, #31, #47, #56, #89, #92</t>
        </is>
      </c>
      <c r="E9" s="4" t="inlineStr">
        <is>
          <t>Document comes in → structured extraction → compare against policy/playbook/criteria → flag gaps → route material cases to a human approver.</t>
        </is>
      </c>
      <c r="F9" s="4" t="inlineStr">
        <is>
          <t>#29 Financial Compliance Document Reviewer — Financial-compliance flavour. Delta: rule citation + risk classification; the red-team mock (#3 in module 07) is its adversarial run.
#31 Legal Contract Review Copilot — Legal-contract flavour. Delta: clause extraction vs playbook, fallback language. Same spine.
#47 Claims-Processing Assistant — Question-bank claims-processing version. Talking points only.
#56 Deploying AI in a Highly Regulated Industry — Question-bank 'regulated industry' prompt. The anchor's PHI/consent/audit answer covers it.
#89 Correct answer with misleading citations — Incident: correct answer, wrong citation (legal). Citation verification against the retrieval set, passage-level anchors.
#92 PDF parser drops critical tables during policy ingestion — Incident: PDF parser drops tables. Ingestion QA: table-aware parsing, sampled extraction audits, parser version in traces.</t>
        </is>
      </c>
      <c r="G9" s="4" t="inlineStr"/>
      <c r="H9" s="4" t="inlineStr">
        <is>
          <t>G08_Document_Review_Copilot/</t>
        </is>
      </c>
      <c r="I9" s="11" t="inlineStr">
        <is>
          <t>https://forward-deployed-sigma.vercel.app/modules/15-fde-case-studies/knowledge-retrieval/document-review-copilot</t>
        </is>
      </c>
    </row>
    <row r="10">
      <c r="A10" s="4" t="inlineStr">
        <is>
          <t>G09 Enterprise coding assistant</t>
        </is>
      </c>
      <c r="B10" s="4" t="n">
        <v>3</v>
      </c>
      <c r="C10" s="4" t="inlineStr">
        <is>
          <t>AI-Powered Coding Assistant (Copilot-class, &lt; 300 ms)</t>
        </is>
      </c>
      <c r="D10" s="4" t="inlineStr">
        <is>
          <t>#3, #51</t>
        </is>
      </c>
      <c r="E10" s="4" t="inlineStr">
        <is>
          <t>Copilot-class assistant grounded in private repos under a tight latency budget.</t>
        </is>
      </c>
      <c r="F10" s="4" t="inlineStr">
        <is>
          <t>#51 Enterprise AI Coding Assistant — Question-bank version. Talking points only.</t>
        </is>
      </c>
      <c r="G10" s="4" t="inlineStr"/>
      <c r="H10" s="4" t="inlineStr">
        <is>
          <t>G09_Enterprise_Coding_Assistant/</t>
        </is>
      </c>
      <c r="I10" s="11" t="inlineStr">
        <is>
          <t>https://forward-deployed-sigma.vercel.app/modules/15-fde-case-studies/agents-that-act/enterprise-coding-assistant</t>
        </is>
      </c>
    </row>
    <row r="11">
      <c r="A11" s="4" t="inlineStr">
        <is>
          <t>G10 High-volume batch / document pipeline</t>
        </is>
      </c>
      <c r="B11" s="4" t="n">
        <v>21</v>
      </c>
      <c r="C11" s="4" t="inlineStr">
        <is>
          <t>High-Volume Batch Inference System (book ch 10)</t>
        </is>
      </c>
      <c r="D11" s="4" t="inlineStr">
        <is>
          <t>#21, #49, #42, #116</t>
        </is>
      </c>
      <c r="E11" s="4" t="inlineStr">
        <is>
          <t>Nightly or bulk processing of millions of items under rate and cost limits; the target is replayability and recovery when behind.</t>
        </is>
      </c>
      <c r="F11" s="4" t="inlineStr">
        <is>
          <t>#49 Enterprise Document-Processing Platform — Extraction-platform framing (bank, millions of documents). Delta: extraction schema + QA sampling.
#42 Document summarization pipeline for batch processing — Cost angle: nightly PDF summarization too expensive. Prepare tiering/caching/truncation answer.
#116 Batch embedding job became too expensive — §15 scenario 13: batch embedding job too expensive. Content hashing, changed-only, cheaper embedding model, off-peak.</t>
        </is>
      </c>
      <c r="G11" s="4" t="inlineStr"/>
      <c r="H11" s="4" t="inlineStr">
        <is>
          <t>G10_High_Volume_Batch_Pipeline/</t>
        </is>
      </c>
      <c r="I11" s="11" t="inlineStr">
        <is>
          <t>https://forward-deployed-sigma.vercel.app/modules/15-fde-case-studies/platforms-and-scale/high-volume-batch-pipeline</t>
        </is>
      </c>
    </row>
    <row r="12">
      <c r="A12" s="4" t="inlineStr">
        <is>
          <t>G11 Deep research agent</t>
        </is>
      </c>
      <c r="B12" s="4" t="n">
        <v>10</v>
      </c>
      <c r="C12" s="4" t="inlineStr">
        <is>
          <t>Deep Research Agent at consumer scale</t>
        </is>
      </c>
      <c r="D12" s="4" t="inlineStr">
        <is>
          <t>#10, #12, #103</t>
        </is>
      </c>
      <c r="E12" s="4" t="inlineStr">
        <is>
          <t>Read-only, citation-grounded research agent at ~100K daily users.</t>
        </is>
      </c>
      <c r="F12" s="4" t="inlineStr">
        <is>
          <t>#12 The Research Platform — The same product as a deployed AWS/LangGraph system. Delta: infra layers (gateway, guardrails, pgvector, PyRIT). Read once as proof.
#103 Research system with a supervisor and workers — Study-guide mock (multi-agent): supervisor plans N queries, workers run in parallel, synthesiser merges; hop cap and per-run budget. Implementation view of the anchor.</t>
        </is>
      </c>
      <c r="G12" s="4" t="inlineStr"/>
      <c r="H12" s="4" t="inlineStr">
        <is>
          <t>G11_Deep_Research_Agent/</t>
        </is>
      </c>
      <c r="I12" s="11" t="inlineStr">
        <is>
          <t>https://forward-deployed-sigma.vercel.app/modules/15-fde-case-studies/knowledge-retrieval/deep-research-agent</t>
        </is>
      </c>
    </row>
    <row r="13">
      <c r="A13" s="4" t="inlineStr">
        <is>
          <t>G12 Delivery framework: scoping doc to deployed agent in two weeks</t>
        </is>
      </c>
      <c r="B13" s="4" t="n">
        <v>9</v>
      </c>
      <c r="C13" s="4" t="inlineStr">
        <is>
          <t>Scoping Doc to Deployed Agent in Two Weeks (delivery framework)</t>
        </is>
      </c>
      <c r="D13" s="4" t="inlineStr">
        <is>
          <t>#9, #65</t>
        </is>
      </c>
      <c r="E13" s="4" t="inlineStr">
        <is>
          <t>Not a system design but a delivery-process case; both members use Northwind Logistics support triage.</t>
        </is>
      </c>
      <c r="F13" s="4" t="inlineStr">
        <is>
          <t>#65 Northwind Logistics — Tier-1 support triage agent, scoping to production in two weeks — Module 10 running case + the AI_Engineer interview script and code project. Same content in prose form.</t>
        </is>
      </c>
      <c r="G13" s="4" t="inlineStr"/>
      <c r="H13" s="4" t="inlineStr">
        <is>
          <t>G12_Scoping_To_Deployed_Agent/</t>
        </is>
      </c>
      <c r="I13" s="11" t="inlineStr">
        <is>
          <t>https://forward-deployed-sigma.vercel.app/modules/15-fde-case-studies/delivery-evaluation-operations/scoping-to-deployed-agent</t>
        </is>
      </c>
    </row>
    <row r="14">
      <c r="A14" s="4" t="inlineStr">
        <is>
          <t>G13 Evaluation and release gating</t>
        </is>
      </c>
      <c r="B14" s="4" t="n">
        <v>20</v>
      </c>
      <c r="C14" s="4" t="inlineStr">
        <is>
          <t>LLM Evaluation and Release-Gating Platform (book ch 9)</t>
        </is>
      </c>
      <c r="D14" s="4" t="inlineStr">
        <is>
          <t>#20, #55, #52, #91, #120</t>
        </is>
      </c>
      <c r="E14" s="4" t="inlineStr">
        <is>
          <t>How a change is proven safe to release: gates, thresholds, overrides, regression detection.</t>
        </is>
      </c>
      <c r="F14" s="4" t="inlineStr">
        <is>
          <t>#55 Build an Evaluation Strategy for an AI Application — Question-bank 'build an eval strategy'. The anchor's evidence/threshold answer covers it.
#52 The Model Got Worse After an Upgrade — Question-bank 'model got worse after upgrade'. Answer = the gate the anchor designs, applied retroactively.
#91 Model regression missed by a weak evaluation suite — Incident: model regression passed offline evals (sales copilot). The gate must test unsupported claims, not fluency; add claim-grounding checks.
#120 Costs are fine but the eval bill tripled — Addition: eval bill tripled. LLM-as-judge is inference: stratified sample, cheap judge with strong-judge audit, deltas only.</t>
        </is>
      </c>
      <c r="G14" s="4" t="inlineStr"/>
      <c r="H14" s="4" t="inlineStr">
        <is>
          <t>G13_Evaluation_And_Release_Gating/</t>
        </is>
      </c>
      <c r="I14" s="11" t="inlineStr">
        <is>
          <t>https://forward-deployed-sigma.vercel.app/modules/15-fde-case-studies/delivery-evaluation-operations/evaluation-and-release-gating</t>
        </is>
      </c>
    </row>
    <row r="15">
      <c r="A15" s="4" t="inlineStr">
        <is>
          <t>G14 Observability and production diagnosis</t>
        </is>
      </c>
      <c r="B15" s="4" t="n">
        <v>24</v>
      </c>
      <c r="C15" s="4" t="inlineStr">
        <is>
          <t>Observability for a Customer-Facing AI Application (book ch 15)</t>
        </is>
      </c>
      <c r="D15" s="4" t="inlineStr">
        <is>
          <t>#24, #53, #54, #44, #74, #87, #88, #104, #105, #109, #110, #113, #114, #115, #119, #121</t>
        </is>
      </c>
      <c r="E15" s="4" t="inlineStr">
        <is>
          <t>'The AI is slow and sometimes wrong and nobody knows why' — what to capture, what not to, and how to triage.</t>
        </is>
      </c>
      <c r="F15" s="4" t="inlineStr">
        <is>
          <t>#53 Latency Regression in an LLM Application — Latency-regression drill. Anchor's percentile/path decomposition covers it.
#54 RAG System with Poor Answer Quality — RAG-quality debugging drill. Delta: separate retrieval vs generation metrics; 5 minutes.
#44 Incident: LLM costs exploded after launch — Cost-explosion incident. Delta: cost telemetry + kill switch; 5 minutes.
#74 Diagnose high latency in an LLM inference pipeline — Reported OpenAI prompt: diagnose inference-pipeline latency at the serving layer (tokenization, network, batch size, KV cache, post-processing). Delta: the layer below the app. Also grouped conceptually with G20; prepare the stack walk once.
#87 Latency spike after reranker and model-routing change — Incident: latency spike after reranker and routing change. Trace the path, compare before/after by stage, roll back the change.
#88 Cost spike from prompt-template and cache-key regression — Incident: cost spike from a prompt-template and cache-key regression. Cost attribution by prompt version; cache key must include the version.
#104 LLM cost increased 5× after rollout — §15 scenario 1: cost up 5× after rollout. Break spend by tenant/feature/model/prompt version; cap output, pause batch, route down.
#105 Latency jumped from 2 seconds to 20 seconds — §15 scenario 2: latency 2 s to 20 s. Decompose by stage; find the serial step or retry storm.
#109 Executive demo is too slow — §15 scenario 6: executive demo too slow. Precompute, warm cache, stream, smaller model for the demo path.
#110 Customer complains the AI is too expensive — §15 scenario 7: customer says the AI is too expensive. Cost per outcome, not per request; route and cache by workflow.
#113 Prompt update increased token usage — §15 scenario 10: prompt update raised token usage. Prompt-token regression tests in CI.
#114 Model provider latency became unstable — §15 scenario 11: provider latency unstable. Fallback model/region, timeouts, hedged requests for interactive paths.
#115 Cache hit rate dropped suddenly — §15 scenario 12: cache hit rate dropped. Cache key drift (prefix caching is a prefix match); version the key deliberately.
#119 Rate limits are throttling us at peak — Addition: rate limits at peak. Separate provider 429s from your own gateway limits; jitter, fallback, shed batch traffic.
#121 Streaming works but users abandon mid-answer — Addition: users abandon mid-stream. Measure against first-token time; cancel the stream and in-flight tool calls on abandon.</t>
        </is>
      </c>
      <c r="G15" s="4" t="inlineStr"/>
      <c r="H15" s="4" t="inlineStr">
        <is>
          <t>G14_Observability_And_Production_Diagnosis/</t>
        </is>
      </c>
      <c r="I15" s="11" t="inlineStr">
        <is>
          <t>https://forward-deployed-sigma.vercel.app/modules/15-fde-case-studies/delivery-evaluation-operations/observability-and-production-diagnosis</t>
        </is>
      </c>
    </row>
    <row r="16">
      <c r="A16" s="4" t="inlineStr">
        <is>
          <t>G15 Agent platform for non-technical users</t>
        </is>
      </c>
      <c r="B16" s="4" t="n">
        <v>8</v>
      </c>
      <c r="C16" s="4" t="inlineStr">
        <is>
          <t>Agent Platform for Non-Technical Users (multi-channel workflow automation)</t>
        </is>
      </c>
      <c r="D16" s="4" t="inlineStr">
        <is>
          <t>#8, #64</t>
        </is>
      </c>
      <c r="E16" s="4" t="inlineStr">
        <is>
          <t>A platform where business users configure workflow automations across channels; canonical events, determinism, approvals.</t>
        </is>
      </c>
      <c r="F16" s="4" t="inlineStr">
        <is>
          <t>#64 Cascade Robotics — agentic workflow platform — Module 05 running case (Cascade Robotics) + code project. Same design in prose.</t>
        </is>
      </c>
      <c r="G16" s="4" t="inlineStr"/>
      <c r="H16" s="4" t="inlineStr">
        <is>
          <t>G15_Agent_Platform_For_Non_Technical_Users/</t>
        </is>
      </c>
      <c r="I16" s="11" t="inlineStr">
        <is>
          <t>https://forward-deployed-sigma.vercel.app/modules/15-fde-case-studies/platforms-and-scale/agent-platform-for-non-technical-users</t>
        </is>
      </c>
    </row>
    <row r="17">
      <c r="A17" s="4" t="inlineStr">
        <is>
          <t>G17 Logistics exception handling / shipment rerouting agent</t>
        </is>
      </c>
      <c r="B17" s="4" t="n">
        <v>5</v>
      </c>
      <c r="C17" s="4" t="inlineStr">
        <is>
          <t>AI Logistics Exception-Handling Assistant (the FDE round)</t>
        </is>
      </c>
      <c r="D17" s="4" t="inlineStr">
        <is>
          <t>#5, #66</t>
        </is>
      </c>
      <c r="E17" s="4" t="inlineStr">
        <is>
          <t>Both are an agent that handles logistics exceptions across SAP-style systems and many regional stakeholders, with evaluation demanded up front.</t>
        </is>
      </c>
      <c r="F17" s="4" t="inlineStr">
        <is>
          <t>#66 Logistics shipment-rerouting agent — Reported OpenAI FDE prompt: rerouting over SAP + weather + 500 warehouse managers. Delta: name the evaluation plan unprompted and the stakeholder surface (regional systems).</t>
        </is>
      </c>
      <c r="G17" s="4" t="inlineStr"/>
      <c r="H17" s="4" t="inlineStr">
        <is>
          <t>G17_Logistics_Exception_Handling/</t>
        </is>
      </c>
      <c r="I17" s="11" t="inlineStr">
        <is>
          <t>https://forward-deployed-sigma.vercel.app/modules/15-fde-case-studies/agents-that-act/logistics-exception-handling</t>
        </is>
      </c>
    </row>
    <row r="18">
      <c r="A18" s="4" t="inlineStr">
        <is>
          <t>G18 Consumer-scale chat service</t>
        </is>
      </c>
      <c r="B18" s="4" t="n">
        <v>71</v>
      </c>
      <c r="C18" s="4" t="inlineStr">
        <is>
          <t>Design ChatGPT</t>
        </is>
      </c>
      <c r="D18" s="4" t="inlineStr">
        <is>
          <t>#71, #78</t>
        </is>
      </c>
      <c r="E18" s="4" t="inlineStr">
        <is>
          <t>Design ChatGPT and design the Claude chat service are the same prompt: conversation state, streaming, model routing, rate limits, safety, cost at consumer scale.</t>
        </is>
      </c>
      <c r="F18" s="4" t="inlineStr">
        <is>
          <t>#78 Design the Claude chat service — Same prompt, Anthropic wording. Delta: none.</t>
        </is>
      </c>
      <c r="G18" s="4" t="inlineStr"/>
      <c r="H18" s="4" t="inlineStr">
        <is>
          <t>G18_Consumer_Scale_Chat_Service/</t>
        </is>
      </c>
      <c r="I18" s="11" t="inlineStr">
        <is>
          <t>https://forward-deployed-sigma.vercel.app/modules/15-fde-case-studies/platforms-and-scale/consumer-scale-chat-service</t>
        </is>
      </c>
    </row>
    <row r="19">
      <c r="A19" s="4" t="inlineStr">
        <is>
          <t>G19 Model development and post-training</t>
        </is>
      </c>
      <c r="B19" s="4" t="n">
        <v>84</v>
      </c>
      <c r="C19" s="4" t="inlineStr">
        <is>
          <t>Design a model that solves math problems: data collection, SFT, post-training, eval</t>
        </is>
      </c>
      <c r="D19" s="4" t="inlineStr">
        <is>
          <t>#84, #73, #81, #83</t>
        </is>
      </c>
      <c r="E19" s="4" t="inlineStr">
        <is>
          <t>Each asks how you build or train a model under a constraint: compute, harm, device size. Same pipeline (data → SFT → post-training → eval), different constraint.</t>
        </is>
      </c>
      <c r="F19" s="4" t="inlineStr">
        <is>
          <t>#73 Design a scalable, efficient system for training an LLM given compute and data constraints — Delta: training infrastructure under compute/data constraints (distributed training, data pipeline, checkpointing).
#81 Design a language model that minimizes harmful outputs while staying useful — Delta: harm minimisation vs usefulness (RLHF/DPO, refusal calibration, evals for over-refusal).
#83 Design a small LLM that runs on a phone while staying polite — Delta: on-device constraints (distillation, quantisation) plus politeness as an alignment target.</t>
        </is>
      </c>
      <c r="G19" s="4" t="inlineStr"/>
      <c r="H19" s="4" t="inlineStr">
        <is>
          <t>G19_Model_Development_And_Post_Training/</t>
        </is>
      </c>
      <c r="I19" s="11" t="inlineStr">
        <is>
          <t>https://forward-deployed-sigma.vercel.app/modules/15-fde-case-studies/model-development/model-development-and-post-training</t>
        </is>
      </c>
    </row>
    <row r="20">
      <c r="A20" s="4" t="inlineStr">
        <is>
          <t>G20 LLM inference serving infrastructure</t>
        </is>
      </c>
      <c r="B20" s="4" t="n">
        <v>76</v>
      </c>
      <c r="C20" s="4" t="inlineStr">
        <is>
          <t>End-to-end LLM batching system: intake, batching, GPU routing and load balancing, delivery. Follow-ups: which GPU has capacity, failover</t>
        </is>
      </c>
      <c r="D20" s="4" t="inlineStr">
        <is>
          <t>#76, #75, #77, #79, #74</t>
        </is>
      </c>
      <c r="E20" s="4" t="inlineStr">
        <is>
          <t>All are the serving layer: request intake, batching, GPU routing, capacity, failover, throughput. Distributed-systems fundamentals in AI clothing.</t>
        </is>
      </c>
      <c r="F20" s="4" t="inlineStr">
        <is>
          <t>#75 Inference batching system: one GPU, up to 100 inputs per batch, synchronous users: intake, batching, GPU processing, response routing — Delta: single-GPU, 100-per-batch, synchronous waiting. The anchor's intake/batching section covers it.
#77 Token-generation service handling up to 100,000 requests per second — Delta: 100k requests per second. Add load balancing, backpressure, admission control.
#79 Review a junior developer's design for an inference batching system and explain what you'd change — Delta: it is a design review, not a design. Use the anchor as the rubric to critique against.
#74 Diagnose high latency in an LLM inference pipeline — Delta: latency diagnosis walk (tokenization → network → batch → KV cache → post-processing). Also listed under G14.</t>
        </is>
      </c>
      <c r="G20" s="4" t="inlineStr"/>
      <c r="H20" s="4" t="inlineStr">
        <is>
          <t>G20_LLM_Inference_Serving/</t>
        </is>
      </c>
      <c r="I20" s="11" t="inlineStr">
        <is>
          <t>https://forward-deployed-sigma.vercel.app/modules/15-fde-case-studies/platforms-and-scale/llm-inference-serving</t>
        </is>
      </c>
    </row>
    <row r="21">
      <c r="A21" s="4" t="inlineStr">
        <is>
          <t>G16 Real-time call assistant</t>
        </is>
      </c>
      <c r="B21" s="4" t="n">
        <v>59</v>
      </c>
      <c r="C21" s="4" t="inlineStr">
        <is>
          <t>AI Assistant for Sales or Customer-Service Calls</t>
        </is>
      </c>
      <c r="D21" s="4" t="inlineStr">
        <is>
          <t>#59, #43</t>
        </is>
      </c>
      <c r="E21" s="4" t="inlineStr">
        <is>
          <t>Transcribe live sales/service calls, summarise, extract actions, update CRM, under a sub-3-second target.</t>
        </is>
      </c>
      <c r="F21" s="4" t="inlineStr">
        <is>
          <t>#43 Real-time sales assistant, sub-3-second response — Latency angle (sub-3 s during the call). Prepare streaming ASR + incremental context answer.</t>
        </is>
      </c>
      <c r="G21" s="4" t="inlineStr"/>
      <c r="H21" s="4" t="inlineStr">
        <is>
          <t>G16_Real_Time_Call_Assistant/</t>
        </is>
      </c>
      <c r="I21" s="11" t="inlineStr">
        <is>
          <t>https://forward-deployed-sigma.vercel.app/modules/15-fde-case-studies/agents-that-act/real-time-call-assistant</t>
        </is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Standalone (no sibling worth merging)</t>
        </is>
      </c>
      <c r="B23" s="4" t="inlineStr"/>
      <c r="C23" s="4" t="inlineStr"/>
      <c r="D23" s="4" t="inlineStr">
        <is>
          <t>#4, #14, #19, #23, #25, #26, #60, #61, #62, #67, #68, #69, #80, #98, #100</t>
        </is>
      </c>
      <c r="E23" s="4" t="inlineStr">
        <is>
          <t>Grouped nothing here; each has a different core problem. #67/#68/#69 share the decomposition METHOD (framework in the reported-prompts HTML, section 4) but not the case. See the Prep note column on the Case Studies tab.</t>
        </is>
      </c>
      <c r="F23" s="4" t="inlineStr"/>
      <c r="G23" s="4" t="inlineStr"/>
      <c r="H23" s="4" t="inlineStr">
        <is>
          <t>Standalone/ — one folder per case (#67/#68/#69 share one pack); exact path in the Case Studies tab, Prep pack column</t>
        </is>
      </c>
      <c r="I23" s="11" t="inlineStr">
        <is>
          <t>https://forward-deployed-sigma.vercel.app/modules/15-fde-case-studies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3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40" customWidth="1" min="4" max="4"/>
    <col width="52" customWidth="1" min="5" max="5"/>
    <col width="40" customWidth="1" min="6" max="6"/>
    <col width="34" customWidth="1" min="7" max="7"/>
    <col width="60" customWidth="1" min="8" max="8"/>
    <col width="10" customWidth="1" min="9" max="9"/>
  </cols>
  <sheetData>
    <row r="1">
      <c r="A1" s="1" t="inlineStr">
        <is>
          <t>Cost/latency drills — one 10-minute add-on per anchor</t>
        </is>
      </c>
    </row>
    <row r="2" ht="32" customHeight="1">
      <c r="A2" s="3" t="inlineStr">
        <is>
          <t>Shared by all seven — the four verbs that generate every strong answer:</t>
        </is>
      </c>
      <c r="B2" s="4" t="inlineStr">
        <is>
          <t>measure (trace/attribute first) → route (match model and path to risk) → bound (steps, tokens, top-k, timeouts, budgets) → cache safely (tenant + permission + version in the key)</t>
        </is>
      </c>
    </row>
    <row r="3" ht="48" customHeight="1">
      <c r="A3" s="3" t="inlineStr">
        <is>
          <t>Shared by all seven — the 60-second delivery structure:</t>
        </is>
      </c>
      <c r="B3" s="4" t="inlineStr">
        <is>
          <t>1 frame the business impact · 2 decompose the path (retrieval, rerank, inference, tools, retries, cache, post-processing) · 3 name the largest measured driver · 4 fix safely · 5 prove with before/after (P95, cost/request, quality evals, cache hit rate) · 6 prevent recurrence (budgets, alerts, regression checks, per-tenant dashboard)</t>
        </is>
      </c>
    </row>
    <row r="4">
      <c r="A4" s="3" t="inlineStr">
        <is>
          <t>Source:</t>
        </is>
      </c>
      <c r="B4" s="4" t="inlineStr">
        <is>
          <t>Study_Guides/Cost_Latency_Optimization/CRAM_SHEET_S15_S16.md §16 (cases) and §4 (weak vs strong); drill deck: Cost_Latency_Drills_S15_S16.html</t>
        </is>
      </c>
    </row>
    <row r="6">
      <c r="A6" s="5" t="inlineStr">
        <is>
          <t>#</t>
        </is>
      </c>
      <c r="B6" s="5" t="inlineStr">
        <is>
          <t>Drill</t>
        </is>
      </c>
      <c r="C6" s="5" t="inlineStr">
        <is>
          <t>Attach to anchor</t>
        </is>
      </c>
      <c r="D6" s="5" t="inlineStr">
        <is>
          <t>Dominant driver</t>
        </is>
      </c>
      <c r="E6" s="5" t="inlineStr">
        <is>
          <t>Cheapest lever first</t>
        </is>
      </c>
      <c r="F6" s="5" t="inlineStr">
        <is>
          <t>Metric that proves it</t>
        </is>
      </c>
      <c r="G6" s="5" t="inlineStr">
        <is>
          <t>Do not</t>
        </is>
      </c>
      <c r="H6" s="5" t="inlineStr">
        <is>
          <t>60-second line</t>
        </is>
      </c>
      <c r="I6" s="5" t="inlineStr">
        <is>
          <t>Kind</t>
        </is>
      </c>
    </row>
    <row r="7">
      <c r="A7" s="6" t="n">
        <v>38</v>
      </c>
      <c r="B7" s="6" t="inlineStr">
        <is>
          <t>Legal RAG under strict cost limits</t>
        </is>
      </c>
      <c r="C7" s="6" t="inlineStr">
        <is>
          <t>#15 Enterprise Knowledge Assistant (G01)</t>
        </is>
      </c>
      <c r="D7" s="6" t="inlineStr">
        <is>
          <t>Input tokens: whole corpus stuffed into long context, plus unconditional rerank</t>
        </is>
      </c>
      <c r="E7" s="6" t="inlineStr">
        <is>
          <t>Calibrated top-k with metadata filters; rerank only ambiguous queries; route simple clause lookups to a mid-tier model</t>
        </is>
      </c>
      <c r="F7" s="6" t="inlineStr">
        <is>
          <t>Cost per request; Recall@k; citation correctness; retrieval vs model latency split</t>
        </is>
      </c>
      <c r="G7" s="6" t="inlineStr">
        <is>
          <t>Strongest model with all documents in context every time</t>
        </is>
      </c>
      <c r="H7" s="6" t="inlineStr">
        <is>
          <t>Legal quality forces citations and escalation, budget forces top-k and routing, the 8-second target rules out heavy rerank on every query. Pilot on a limited document set with cost instrumented from day one.</t>
        </is>
      </c>
      <c r="I7" s="6" t="inlineStr">
        <is>
          <t>Playbook</t>
        </is>
      </c>
    </row>
    <row r="8">
      <c r="A8" s="6" t="n">
        <v>39</v>
      </c>
      <c r="B8" s="6" t="inlineStr">
        <is>
          <t>Support chatbot, 10k daily users</t>
        </is>
      </c>
      <c r="C8" s="6" t="inlineStr">
        <is>
          <t>#18 AI Customer-Support Automation (G02)</t>
        </is>
      </c>
      <c r="D8" s="6" t="inlineStr">
        <is>
          <t>Model spend on repeated FAQ traffic that needs no LLM</t>
        </is>
      </c>
      <c r="E8" s="6" t="inlineStr">
        <is>
          <t>Intent router in front; permission-aware semantic cache for safe FAQs; small model for classification; tools only for account data</t>
        </is>
      </c>
      <c r="F8" s="6" t="inlineStr">
        <is>
          <t>Cost per resolved ticket; deflection rate; cache hit rate; P95 latency</t>
        </is>
      </c>
      <c r="G8" s="6" t="inlineStr">
        <is>
          <t>Keep the same model and hope browser caching helps</t>
        </is>
      </c>
      <c r="H8" s="6" t="inlineStr">
        <is>
          <t>Reduce cost by workflow, not across the board. Cache the FAQ path, route by intent, protect the account-data path.</t>
        </is>
      </c>
      <c r="I8" s="6" t="inlineStr">
        <is>
          <t>Playbook</t>
        </is>
      </c>
    </row>
    <row r="9">
      <c r="A9" s="6" t="n">
        <v>40</v>
      </c>
      <c r="B9" s="6" t="inlineStr">
        <is>
          <t>Latency of an agentic CRM assistant</t>
        </is>
      </c>
      <c r="C9" s="6" t="inlineStr">
        <is>
          <t>#28 Sales Copilot (G05)</t>
        </is>
      </c>
      <c r="D9" s="6" t="inlineStr">
        <is>
          <t>Agent steps and serial tool calls</t>
        </is>
      </c>
      <c r="E9" s="6" t="inlineStr">
        <is>
          <t>Trace first; cap steps; parallelise read-only calls; precompute account snapshots; deterministic route for common requests</t>
        </is>
      </c>
      <c r="F9" s="6" t="inlineStr">
        <is>
          <t>Agent step count; tool latency; cache hit rate; timeout rate</t>
        </is>
      </c>
      <c r="G9" s="6" t="inlineStr">
        <is>
          <t>Swap to a faster model without reading a trace</t>
        </is>
      </c>
      <c r="H9" s="6" t="inlineStr">
        <is>
          <t>Replace the open-ended agent loop with a bounded execution graph. Common CRM operations are deterministic and cache-backed; the agent handles only the ambiguous next step.</t>
        </is>
      </c>
      <c r="I9" s="6" t="inlineStr">
        <is>
          <t>Playbook</t>
        </is>
      </c>
    </row>
    <row r="10">
      <c r="A10" s="6" t="n">
        <v>41</v>
      </c>
      <c r="B10" s="6" t="inlineStr">
        <is>
          <t>Multi-tenant platform with per-customer budgets</t>
        </is>
      </c>
      <c r="C10" s="6" t="inlineStr">
        <is>
          <t>#16 Secure Multi-Tenant AI Platform (G07)</t>
        </is>
      </c>
      <c r="D10" s="6" t="inlineStr">
        <is>
          <t>Uncontrolled spend with no attribution, and a shared cache that leaks across tenants</t>
        </is>
      </c>
      <c r="E10" s="6" t="inlineStr">
        <is>
          <t>Tenant-aware gateway with budget check before the model call; cache keyed on tenant + permission signature; quota alerts</t>
        </is>
      </c>
      <c r="F10" s="6" t="inlineStr">
        <is>
          <t>Cost per tenant; quota usage; cross-tenant access tests; cache hit rate by tenant</t>
        </is>
      </c>
      <c r="G10" s="6" t="inlineStr">
        <is>
          <t>Global token limit plus one shared cache</t>
        </is>
      </c>
      <c r="H10" s="6" t="inlineStr">
        <is>
          <t>Make tenant_id and permission_signature first-class in every service. Budgets are contractual, so meter before the call, not after.</t>
        </is>
      </c>
      <c r="I10" s="6" t="inlineStr">
        <is>
          <t>Playbook</t>
        </is>
      </c>
    </row>
    <row r="11">
      <c r="A11" s="6" t="n">
        <v>42</v>
      </c>
      <c r="B11" s="6" t="inlineStr">
        <is>
          <t>Nightly PDF summarisation too expensive</t>
        </is>
      </c>
      <c r="C11" s="6" t="inlineStr">
        <is>
          <t>#21 High-Volume Batch Inference (G10)</t>
        </is>
      </c>
      <c r="D11" s="6" t="inlineStr">
        <is>
          <t>Reprocessing unchanged documents on a premium model</t>
        </is>
      </c>
      <c r="E11" s="6" t="inlineStr">
        <is>
          <t>Content hash and change detection; dedupe; cheaper model in batch mode; sampled strong-model audit</t>
        </is>
      </c>
      <c r="F11" s="6" t="inlineStr">
        <is>
          <t>Changed ratio; cost per document; queue depth; eval score on the sample</t>
        </is>
      </c>
      <c r="G11" s="6" t="inlineStr">
        <is>
          <t>Run every PDF through the premium model every night</t>
        </is>
      </c>
      <c r="H11" s="6" t="inlineStr">
        <is>
          <t>Never reprocess an unchanged document without a reason. Batch buys throughput not latency, so quality is proven by sampling.</t>
        </is>
      </c>
      <c r="I11" s="6" t="inlineStr">
        <is>
          <t>Playbook</t>
        </is>
      </c>
    </row>
    <row r="12">
      <c r="A12" s="6" t="n">
        <v>43</v>
      </c>
      <c r="B12" s="6" t="inlineStr">
        <is>
          <t>Real-time sales assistant, sub-3 seconds</t>
        </is>
      </c>
      <c r="C12" s="6" t="inlineStr">
        <is>
          <t>#59 Call Assistant (G16)</t>
        </is>
      </c>
      <c r="D12" s="6" t="inlineStr">
        <is>
          <t>Synchronous live CRM lookup plus a large model inside the 3-second window</t>
        </is>
      </c>
      <c r="E12" s="6" t="inlineStr">
        <is>
          <t>Precompute account context before the call; small prompt with a fast model streamed during; enrichment and CRM update async after</t>
        </is>
      </c>
      <c r="F12" s="6" t="inlineStr">
        <is>
          <t>First-token latency; total latency; precompute hit rate; user accept rate; timeout rate</t>
        </is>
      </c>
      <c r="G12" s="6" t="inlineStr">
        <is>
          <t>Large model with a live CRM lookup per request</t>
        </is>
      </c>
      <c r="H12" s="6" t="inlineStr">
        <is>
          <t>Sub-3 seconds is a workflow design problem, not a model choice. Split before, during and after the call.</t>
        </is>
      </c>
      <c r="I12" s="6" t="inlineStr">
        <is>
          <t>Playbook</t>
        </is>
      </c>
    </row>
    <row r="13">
      <c r="A13" s="6" t="n">
        <v>44</v>
      </c>
      <c r="B13" s="6" t="inlineStr">
        <is>
          <t>Incident: LLM costs exploded after launch</t>
        </is>
      </c>
      <c r="C13" s="6" t="inlineStr">
        <is>
          <t>#24 Observability for a Customer-Facing AI App (G14)</t>
        </is>
      </c>
      <c r="D13" s="6" t="inlineStr">
        <is>
          <t>Unknown until attributed: usually retries, agent loops, batch or eval jobs, or an integration loop</t>
        </is>
      </c>
      <c r="E13" s="6" t="inlineStr">
        <is>
          <t>Spend circuit breaker first; attribute by tenant and feature; cap output; pause batch and eval; downgrade premium routing; tenant quotas; then root cause</t>
        </is>
      </c>
      <c r="F13" s="6" t="inlineStr">
        <is>
          <t>Cost per minute; tokens per request; model distribution; retry count; agent steps; tenant usage</t>
        </is>
      </c>
      <c r="G13" s="6" t="inlineStr">
        <is>
          <t>Kill the whole feature without diagnosis</t>
        </is>
      </c>
      <c r="H13" s="6" t="inlineStr">
        <is>
          <t>Contain, attribute, then diagnose. Keep low-cost safe paths online while disabling runaway paths. The real lesson is that budget guardrails must exist before launch.</t>
        </is>
      </c>
      <c r="I13" s="6" t="inlineStr">
        <is>
          <t>Playbook</t>
        </is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inlineStr">
        <is>
          <t>Self-drills for the nine anchors with no playbook case — written for this index from the 8 drivers, not taken from the playbook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>
        <v>22</v>
      </c>
      <c r="B16" s="6" t="inlineStr">
        <is>
          <t>Self-drill: tool-using agent gets slow and expensive</t>
        </is>
      </c>
      <c r="C16" s="6" t="inlineStr">
        <is>
          <t>#22 Tool-Using Agent with Safety Controls (G03)</t>
        </is>
      </c>
      <c r="D16" s="6" t="inlineStr">
        <is>
          <t>Agent steps and tool calls, plus retries after failed or rejected actions</t>
        </is>
      </c>
      <c r="E16" s="6" t="inlineStr">
        <is>
          <t>Bound steps per request; deterministic route for known intents; cache read-only tool results within the request; approval gate as the loop breaker</t>
        </is>
      </c>
      <c r="F16" s="6" t="inlineStr">
        <is>
          <t>Steps per request; tool latency; retry count; cost per request</t>
        </is>
      </c>
      <c r="G16" s="6" t="inlineStr">
        <is>
          <t>Give the loop a bigger model and a longer budget</t>
        </is>
      </c>
      <c r="H16" s="6" t="inlineStr">
        <is>
          <t>An agent that acts must be bounded before it is optimised. Cap the steps, make the common paths deterministic, and let the approval gate stop the loop.</t>
        </is>
      </c>
      <c r="I16" s="6" t="inlineStr">
        <is>
          <t>Self-drill</t>
        </is>
      </c>
    </row>
    <row r="17">
      <c r="A17" s="6" t="n">
        <v>11</v>
      </c>
      <c r="B17" s="6" t="inlineStr">
        <is>
          <t>Self-drill: incident agent misses its 30-second floor</t>
        </is>
      </c>
      <c r="C17" s="6" t="inlineStr">
        <is>
          <t>#11 Incident Response Agent for SRE (G04)</t>
        </is>
      </c>
      <c r="D17" s="6" t="inlineStr">
        <is>
          <t>Input tokens: raw logs, traces and deploy diffs stuffed into context, then serial diagnostic steps</t>
        </is>
      </c>
      <c r="E17" s="6" t="inlineStr">
        <is>
          <t>Pre-aggregate telemetry before the model sees it; parallel read-only diagnostics; small model for correlation, strong model only for the hypothesis; cap steps</t>
        </is>
      </c>
      <c r="F17" s="6" t="inlineStr">
        <is>
          <t>Input tokens per request; time to first hypothesis; step count; timeout rate</t>
        </is>
      </c>
      <c r="G17" s="6" t="inlineStr">
        <is>
          <t>Feed the model everything and ask it to find the needle</t>
        </is>
      </c>
      <c r="H17" s="6" t="inlineStr">
        <is>
          <t>Under a latency floor the win is in what you do not send. Summarise telemetry first, run diagnostics in parallel, and spend the strong model on the hypothesis only.</t>
        </is>
      </c>
      <c r="I17" s="6" t="inlineStr">
        <is>
          <t>Self-drill</t>
        </is>
      </c>
    </row>
    <row r="18">
      <c r="A18" s="6" t="n">
        <v>17</v>
      </c>
      <c r="B18" s="6" t="inlineStr">
        <is>
          <t>Self-drill: NL-to-SQL cost climbs with every failed query</t>
        </is>
      </c>
      <c r="C18" s="6" t="inlineStr">
        <is>
          <t>#17 Natural-Language-to-SQL Assistant (G06)</t>
        </is>
      </c>
      <c r="D18" s="6" t="inlineStr">
        <is>
          <t>Retries on invalid or wrong SQL, and the full schema carried as input tokens on every call</t>
        </is>
      </c>
      <c r="E18" s="6" t="inlineStr">
        <is>
          <t>Semantic layer so the prompt carries metrics not tables; validate and dry-run SQL before execution; cache metric definitions and recurring executive questions; small model for routing</t>
        </is>
      </c>
      <c r="F18" s="6" t="inlineStr">
        <is>
          <t>First-try success rate; retry rate; cost per query; P95 latency</t>
        </is>
      </c>
      <c r="G18" s="6" t="inlineStr">
        <is>
          <t>Retry with a stronger model until the SQL runs</t>
        </is>
      </c>
      <c r="H18" s="6" t="inlineStr">
        <is>
          <t>Valid SQL that answers the wrong question is the failure, so the fix is a semantic layer and validation, not more retries. That also removes the schema from every prompt.</t>
        </is>
      </c>
      <c r="I18" s="6" t="inlineStr">
        <is>
          <t>Self-drill</t>
        </is>
      </c>
    </row>
    <row r="19">
      <c r="A19" s="6" t="n">
        <v>30</v>
      </c>
      <c r="B19" s="6" t="inlineStr">
        <is>
          <t>Self-drill: document review copilot too expensive per file</t>
        </is>
      </c>
      <c r="C19" s="6" t="inlineStr">
        <is>
          <t>#30 Healthcare Prior Authorization Assistant (G08)</t>
        </is>
      </c>
      <c r="D19" s="6" t="inlineStr">
        <is>
          <t>Input tokens on long documents, and every page going through the strongest model</t>
        </is>
      </c>
      <c r="E19" s="6" t="inlineStr">
        <is>
          <t>Extract only the relevant sections first; dedupe templated documents by hash; cheap model for extraction, strong model only on flagged risk; batch the non-urgent queue off-peak</t>
        </is>
      </c>
      <c r="F19" s="6" t="inlineStr">
        <is>
          <t>Cost per document; tokens per document; escalation rate; extraction accuracy on a sampled audit</t>
        </is>
      </c>
      <c r="G19" s="6" t="inlineStr">
        <is>
          <t>Send the whole document to the premium model every time</t>
        </is>
      </c>
      <c r="H19" s="6" t="inlineStr">
        <is>
          <t>Extraction is cheap, judgement is expensive. Route pages to extraction, route only the flagged risks to the strong model, and prove quality by sampling.</t>
        </is>
      </c>
      <c r="I19" s="6" t="inlineStr">
        <is>
          <t>Self-drill</t>
        </is>
      </c>
    </row>
    <row r="20">
      <c r="A20" s="6" t="n">
        <v>3</v>
      </c>
      <c r="B20" s="6" t="inlineStr">
        <is>
          <t>Self-drill: coding assistant at under 300 ms</t>
        </is>
      </c>
      <c r="C20" s="6" t="inlineStr">
        <is>
          <t>#3 AI-Powered Coding Assistant (G09)</t>
        </is>
      </c>
      <c r="D20" s="6" t="inlineStr">
        <is>
          <t>Output tokens and context size inside a hard latency budget</t>
        </is>
      </c>
      <c r="E20" s="6" t="inlineStr">
        <is>
          <t>Context funnel so only nearest files enter the prompt; prompt-prefix caching; small fast model for completions, strong model only for explicit refactors; cap completion length</t>
        </is>
      </c>
      <c r="F20" s="6" t="inlineStr">
        <is>
          <t>First-token latency; tokens per completion; acceptance rate; cache hit rate</t>
        </is>
      </c>
      <c r="G20" s="6" t="inlineStr">
        <is>
          <t>One big model for completions and chat alike</t>
        </is>
      </c>
      <c r="H20" s="6" t="inlineStr">
        <is>
          <t>Completions are a latency product. Funnel the context, cache the prefix, keep completions short and fast, and reserve the strong model for the tasks a user waits for.</t>
        </is>
      </c>
      <c r="I20" s="6" t="inlineStr">
        <is>
          <t>Self-drill</t>
        </is>
      </c>
    </row>
    <row r="21">
      <c r="A21" s="6" t="n">
        <v>10</v>
      </c>
      <c r="B21" s="6" t="inlineStr">
        <is>
          <t>Self-drill: research agent cost per report</t>
        </is>
      </c>
      <c r="C21" s="6" t="inlineStr">
        <is>
          <t>#10 Deep Research Agent (G11)</t>
        </is>
      </c>
      <c r="D21" s="6" t="inlineStr">
        <is>
          <t>Agent steps as search rounds, and long-context synthesis over every source found</t>
        </is>
      </c>
      <c r="E21" s="6" t="inlineStr">
        <is>
          <t>Cap search rounds; dedupe sources before reading; compress evidence before synthesis; cache finished reports by topic (the deployed research platform already does this)</t>
        </is>
      </c>
      <c r="F21" s="6" t="inlineStr">
        <is>
          <t>Searches per report; cost per report; cache hit rate; tokens into synthesis</t>
        </is>
      </c>
      <c r="G21" s="6" t="inlineStr">
        <is>
          <t>Let the agent search until it is satisfied</t>
        </is>
      </c>
      <c r="H21" s="6" t="inlineStr">
        <is>
          <t>Cost here is search fan-out times synthesis context. Bound the rounds, dedupe, compress, and never research the same topic twice.</t>
        </is>
      </c>
      <c r="I21" s="6" t="inlineStr">
        <is>
          <t>Self-drill</t>
        </is>
      </c>
    </row>
    <row r="22">
      <c r="A22" s="6" t="n">
        <v>9</v>
      </c>
      <c r="B22" s="6" t="inlineStr">
        <is>
          <t>Self-drill: pilot spend during a two-week delivery</t>
        </is>
      </c>
      <c r="C22" s="6" t="inlineStr">
        <is>
          <t>#9 Scoping Doc to Deployed Agent in Two Weeks (G12)</t>
        </is>
      </c>
      <c r="D22" s="6" t="inlineStr">
        <is>
          <t>Evaluation and logging overhead during the pilot, plus an unbounded agent in front of real tickets</t>
        </is>
      </c>
      <c r="E22" s="6" t="inlineStr">
        <is>
          <t>Agree cost per resolved ticket at intake alongside the quality metrics; sampled evals not full-corpus; step and token caps from day one; budget alert per pilot</t>
        </is>
      </c>
      <c r="F22" s="6" t="inlineStr">
        <is>
          <t>Cost per resolved ticket vs the intake baseline; eval spend per day; P95</t>
        </is>
      </c>
      <c r="G22" s="6" t="inlineStr">
        <is>
          <t>Instrument cost after the pilot proves value</t>
        </is>
      </c>
      <c r="H22" s="6" t="inlineStr">
        <is>
          <t>Cost is a success metric agreed at intake, not a cleanup after go-live. Cap the agent, sample the evals, and report cost per resolved ticket in the same dashboard as quality.</t>
        </is>
      </c>
      <c r="I22" s="6" t="inlineStr">
        <is>
          <t>Self-drill</t>
        </is>
      </c>
    </row>
    <row r="23">
      <c r="A23" s="6" t="n">
        <v>20</v>
      </c>
      <c r="B23" s="6" t="inlineStr">
        <is>
          <t>Self-drill: evaluation gate is too expensive to run per release</t>
        </is>
      </c>
      <c r="C23" s="6" t="inlineStr">
        <is>
          <t>#20 LLM Evaluation and Release-Gating Platform (G13)</t>
        </is>
      </c>
      <c r="D23" s="6" t="inlineStr">
        <is>
          <t>Batch and evaluation pipeline spend: LLM-as-judge over the full suite on every change</t>
        </is>
      </c>
      <c r="E23" s="6" t="inlineStr">
        <is>
          <t>Sample the suite for smoke tests; cheap judge first, strong judge only on failures and disagreements; cache judged pairs by prompt version; full suite only at the release gate</t>
        </is>
      </c>
      <c r="F23" s="6" t="inlineStr">
        <is>
          <t>Eval cost per release; judge agreement rate; time to gate; regressions caught per dollar</t>
        </is>
      </c>
      <c r="G23" s="6" t="inlineStr">
        <is>
          <t>Run the full strong-judge suite on every commit</t>
        </is>
      </c>
      <c r="H23" s="6" t="inlineStr">
        <is>
          <t>A gate nobody can afford gets bypassed. Tier the judges, sample on every change, run the full suite only where a release decision is made.</t>
        </is>
      </c>
      <c r="I23" s="6" t="inlineStr">
        <is>
          <t>Self-drill</t>
        </is>
      </c>
    </row>
    <row r="24">
      <c r="A24" s="6" t="n">
        <v>8</v>
      </c>
      <c r="B24" s="6" t="inlineStr">
        <is>
          <t>Self-drill: user-built automations run away with spend</t>
        </is>
      </c>
      <c r="C24" s="6" t="inlineStr">
        <is>
          <t>#8 Agent Platform for Non-Technical Users (G15)</t>
        </is>
      </c>
      <c r="D24" s="6" t="inlineStr">
        <is>
          <t>Retries and loops in user-authored automations, with no budget owner per tenant</t>
        </is>
      </c>
      <c r="E24" s="6" t="inlineStr">
        <is>
          <t>Per-automation step and token caps; per-tenant budgets with a circuit breaker; idempotency keys on every action; deterministic events instead of free-text triggers</t>
        </is>
      </c>
      <c r="F24" s="6" t="inlineStr">
        <is>
          <t>Cost per automation run; steps per run; runaway kills per day; cost per tenant</t>
        </is>
      </c>
      <c r="G24" s="6" t="inlineStr">
        <is>
          <t>Trust users to write bounded workflows</t>
        </is>
      </c>
      <c r="H24" s="6" t="inlineStr">
        <is>
          <t>Non-technical users will build loops. The platform bounds them: caps per run, a budget per tenant, idempotent actions, and a breaker that trips before the invoice does.</t>
        </is>
      </c>
      <c r="I24" s="6" t="inlineStr">
        <is>
          <t>Self-drill</t>
        </is>
      </c>
    </row>
  </sheetData>
  <mergeCells count="4">
    <mergeCell ref="A15:I15"/>
    <mergeCell ref="B3:H3"/>
    <mergeCell ref="B2:H2"/>
    <mergeCell ref="B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30" customWidth="1" min="4" max="4"/>
    <col width="60" customWidth="1" min="5" max="5"/>
    <col width="46" customWidth="1" min="6" max="6"/>
    <col width="40" customWidth="1" min="7" max="7"/>
    <col width="60" customWidth="1" min="8" max="8"/>
    <col width="50" customWidth="1" min="9" max="9"/>
    <col width="60" customWidth="1" min="10" max="10"/>
    <col width="30" customWidth="1" min="11" max="11"/>
    <col width="12" customWidth="1" min="12" max="12"/>
    <col width="60" customWidth="1" min="13" max="13"/>
    <col width="62" customWidth="1" min="14" max="14"/>
    <col width="70" customWidth="1" min="15" max="15"/>
  </cols>
  <sheetData>
    <row r="1">
      <c r="A1" s="5" t="inlineStr">
        <is>
          <t>#</t>
        </is>
      </c>
      <c r="B1" s="5" t="inlineStr">
        <is>
          <t>Category</t>
        </is>
      </c>
      <c r="C1" s="5" t="inlineStr">
        <is>
          <t>Group</t>
        </is>
      </c>
      <c r="D1" s="5" t="inlineStr">
        <is>
          <t>Role in group</t>
        </is>
      </c>
      <c r="E1" s="5" t="inlineStr">
        <is>
          <t>Prep note (delta vs anchor)</t>
        </is>
      </c>
      <c r="F1" s="5" t="inlineStr">
        <is>
          <t>Case study</t>
        </is>
      </c>
      <c r="G1" s="5" t="inlineStr">
        <is>
          <t>Collection</t>
        </is>
      </c>
      <c r="H1" s="5" t="inlineStr">
        <is>
          <t>Primary path (relative to 06_Interview_Prep/)</t>
        </is>
      </c>
      <c r="I1" s="5" t="inlineStr">
        <is>
          <t>Answer key / paired doc</t>
        </is>
      </c>
      <c r="J1" s="5" t="inlineStr">
        <is>
          <t>Also appears in</t>
        </is>
      </c>
      <c r="K1" s="5" t="inlineStr">
        <is>
          <t>Formats</t>
        </is>
      </c>
      <c r="L1" s="5" t="inlineStr">
        <is>
          <t>Tracked in git</t>
        </is>
      </c>
      <c r="M1" s="5" t="inlineStr">
        <is>
          <t>Notes</t>
        </is>
      </c>
      <c r="N1" s="5" t="inlineStr">
        <is>
          <t>Prep pack (relative to Case_Study_Groups/)</t>
        </is>
      </c>
      <c r="O1" s="5" t="inlineStr">
        <is>
          <t>Site page (Forward Deployed)</t>
        </is>
      </c>
    </row>
    <row r="2">
      <c r="A2" s="6" t="n">
        <v>1</v>
      </c>
      <c r="B2" s="6" t="inlineStr">
        <is>
          <t>Worked system design</t>
        </is>
      </c>
      <c r="C2" s="6" t="inlineStr">
        <is>
          <t>G03 Tool-using agent acting across enterprise systems</t>
        </is>
      </c>
      <c r="D2" s="6" t="inlineStr">
        <is>
          <t>Covered by anchor — read delta only</t>
        </is>
      </c>
      <c r="E2" s="6" t="inlineStr">
        <is>
          <t>Casebook design over 100+ internal apps. Delta: REST vs function-calling vs MCP as layers, tool registry at scale, identity propagation. Read that layering section.</t>
        </is>
      </c>
      <c r="F2" s="6" t="inlineStr">
        <is>
          <t>Enterprise AI Assistant over 100+ internal applications</t>
        </is>
      </c>
      <c r="G2" s="6" t="inlineStr">
        <is>
          <t>Handbook Module 09 — AI System Design Casebook</t>
        </is>
      </c>
      <c r="H2" s="6" t="inlineStr">
        <is>
          <t>Handbook/09_AI_System_Design_Casebook/01_Enterprise_AI_Assistant.md</t>
        </is>
      </c>
      <c r="I2" s="6" t="inlineStr"/>
      <c r="J2" s="6" t="inlineStr">
        <is>
          <t>FDE/System_Design and Delivery/5. Enterprise AI Assistant Design.md (older source, md + html)</t>
        </is>
      </c>
      <c r="K2" s="6" t="inlineStr">
        <is>
          <t>md (+ html in older copy)</t>
        </is>
      </c>
      <c r="L2" s="6" t="inlineStr">
        <is>
          <t>Yes</t>
        </is>
      </c>
      <c r="M2" s="6" t="inlineStr">
        <is>
          <t>REST vs function calling vs MCP vs agent frameworks as layers; tool registry at scale; identity propagation</t>
        </is>
      </c>
      <c r="N2" s="6" t="inlineStr">
        <is>
          <t>G03_Tool_Using_Agent_With_Safety_Controls/</t>
        </is>
      </c>
      <c r="O2" s="12" t="inlineStr">
        <is>
          <t>https://forward-deployed-sigma.vercel.app/modules/15-fde-case-studies/agents-that-act/tool-using-agent-with-safety-controls</t>
        </is>
      </c>
    </row>
    <row r="3">
      <c r="A3" s="6" t="n">
        <v>2</v>
      </c>
      <c r="B3" s="6" t="inlineStr">
        <is>
          <t>Worked system design</t>
        </is>
      </c>
      <c r="C3" s="6" t="inlineStr">
        <is>
          <t>G02 Customer-support automation</t>
        </is>
      </c>
      <c r="D3" s="6" t="inlineStr">
        <is>
          <t>Covered by anchor — read delta only</t>
        </is>
      </c>
      <c r="E3" s="6" t="inlineStr">
        <is>
          <t>Casebook worked design at 1M conversations/day. Delta: three memory layers, planner justification, model routing. Read the memory + routing sections.</t>
        </is>
      </c>
      <c r="F3" s="6" t="inlineStr">
        <is>
          <t>Customer Support Assistant (Einstein + Zendesk, 1M conversations/day)</t>
        </is>
      </c>
      <c r="G3" s="6" t="inlineStr">
        <is>
          <t>Handbook Module 09 — AI System Design Casebook</t>
        </is>
      </c>
      <c r="H3" s="6" t="inlineStr">
        <is>
          <t>Handbook/09_AI_System_Design_Casebook/02_Customer_Support_Assistant.md</t>
        </is>
      </c>
      <c r="I3" s="6" t="inlineStr"/>
      <c r="J3" s="6" t="inlineStr">
        <is>
          <t>FDE/System_Design and Delivery/6. Customer Support AI Assistant Design.md (older source, md + html)</t>
        </is>
      </c>
      <c r="K3" s="6" t="inlineStr">
        <is>
          <t>md (+ html in older copy)</t>
        </is>
      </c>
      <c r="L3" s="6" t="inlineStr">
        <is>
          <t>Yes</t>
        </is>
      </c>
      <c r="M3" s="6" t="inlineStr">
        <is>
          <t>RAG vs tool calling; when a planner is justified; three memory layers; human approval; model routing</t>
        </is>
      </c>
      <c r="N3" s="6" t="inlineStr">
        <is>
          <t>G02_Customer_Support_Automation/</t>
        </is>
      </c>
      <c r="O3" s="12" t="inlineStr">
        <is>
          <t>https://forward-deployed-sigma.vercel.app/modules/15-fde-case-studies/agents-that-act/customer-support-automation</t>
        </is>
      </c>
    </row>
    <row r="4">
      <c r="A4" s="8" t="n">
        <v>3</v>
      </c>
      <c r="B4" s="8" t="inlineStr">
        <is>
          <t>Worked system design</t>
        </is>
      </c>
      <c r="C4" s="8" t="inlineStr">
        <is>
          <t>G09 Enterprise coding assistant</t>
        </is>
      </c>
      <c r="D4" s="9" t="inlineStr">
        <is>
          <t>ANCHOR — prepare this</t>
        </is>
      </c>
      <c r="E4" s="8" t="inlineStr">
        <is>
          <t>Anchor: casebook worked design (context funnel, cache first, model routing, decomposed latency budget). Cost/latency self-drill on the Drill Add-ons tab.</t>
        </is>
      </c>
      <c r="F4" s="8" t="inlineStr">
        <is>
          <t>AI-Powered Coding Assistant (Copilot-class, &lt; 300 ms)</t>
        </is>
      </c>
      <c r="G4" s="6" t="inlineStr">
        <is>
          <t>Handbook Module 09 — AI System Design Casebook</t>
        </is>
      </c>
      <c r="H4" s="6" t="inlineStr">
        <is>
          <t>Handbook/09_AI_System_Design_Casebook/03_Coding_Assistant.md</t>
        </is>
      </c>
      <c r="I4" s="6" t="inlineStr"/>
      <c r="J4" s="6" t="inlineStr">
        <is>
          <t>FDE/System_Design and Delivery/7. AI Powered Coding Assistant Design.md (older source, md + html)</t>
        </is>
      </c>
      <c r="K4" s="6" t="inlineStr">
        <is>
          <t>md (+ html in older copy)</t>
        </is>
      </c>
      <c r="L4" s="6" t="inlineStr">
        <is>
          <t>Yes</t>
        </is>
      </c>
      <c r="M4" s="6" t="inlineStr">
        <is>
          <t>Context engineering as a funnel; cache first; model routing by task; decomposed latency budget</t>
        </is>
      </c>
      <c r="N4" s="6" t="inlineStr">
        <is>
          <t>G09_Enterprise_Coding_Assistant/</t>
        </is>
      </c>
      <c r="O4" s="12" t="inlineStr">
        <is>
          <t>https://forward-deployed-sigma.vercel.app/modules/15-fde-case-studies/agents-that-act/enterprise-coding-assistant</t>
        </is>
      </c>
    </row>
    <row r="5">
      <c r="A5" s="6" t="n">
        <v>4</v>
      </c>
      <c r="B5" s="6" t="inlineStr">
        <is>
          <t>Worked system design</t>
        </is>
      </c>
      <c r="C5" s="6" t="inlineStr">
        <is>
          <t>— standalone</t>
        </is>
      </c>
      <c r="D5" s="6" t="inlineStr">
        <is>
          <t>Prepare on its own</t>
        </is>
      </c>
      <c r="E5" s="6" t="inlineStr">
        <is>
          <t>Recruiting platform — structured extraction + explainable ranking + fairness. No sibling.</t>
        </is>
      </c>
      <c r="F5" s="6" t="inlineStr">
        <is>
          <t>AI-Powered Recruiting Platform (resume to hiring decision)</t>
        </is>
      </c>
      <c r="G5" s="6" t="inlineStr">
        <is>
          <t>Handbook Module 09 — AI System Design Casebook</t>
        </is>
      </c>
      <c r="H5" s="6" t="inlineStr">
        <is>
          <t>Handbook/09_AI_System_Design_Casebook/04_Recruiting_Platform.md</t>
        </is>
      </c>
      <c r="I5" s="6" t="inlineStr"/>
      <c r="J5" s="6" t="inlineStr">
        <is>
          <t>FDE/System_Design and Delivery/8. AI Powered Recruiting Platform Design.md (older source, md + html)</t>
        </is>
      </c>
      <c r="K5" s="6" t="inlineStr">
        <is>
          <t>md (+ html in older copy)</t>
        </is>
      </c>
      <c r="L5" s="6" t="inlineStr">
        <is>
          <t>Yes</t>
        </is>
      </c>
      <c r="M5" s="6" t="inlineStr">
        <is>
          <t>Structured extraction as the seam; explainable ranking; AI judge that does not decide; fairness as a control</t>
        </is>
      </c>
      <c r="N5" s="6" t="inlineStr">
        <is>
          <t>Standalone/04_Recruiting_Platform/  [copied source files (folder)]</t>
        </is>
      </c>
      <c r="O5" s="12" t="inlineStr">
        <is>
          <t>https://forward-deployed-sigma.vercel.app/modules/15-fde-case-studies/standalone-designs/recruiting-platform</t>
        </is>
      </c>
    </row>
    <row r="6">
      <c r="A6" s="8" t="n">
        <v>5</v>
      </c>
      <c r="B6" s="8" t="inlineStr">
        <is>
          <t>Worked system design</t>
        </is>
      </c>
      <c r="C6" s="8" t="inlineStr">
        <is>
          <t>G17 Logistics exception handling / shipment rerouting agent</t>
        </is>
      </c>
      <c r="D6" s="9" t="inlineStr">
        <is>
          <t>ANCHOR — prepare this</t>
        </is>
      </c>
      <c r="E6" s="8" t="inlineStr">
        <is>
          <t>Anchor: casebook worked design (policy gate with customs first, streaming + batch unified, shared control plane / regional data planes, low-DAU high-stakes sizing).</t>
        </is>
      </c>
      <c r="F6" s="8" t="inlineStr">
        <is>
          <t>AI Logistics Exception-Handling Assistant (the FDE round)</t>
        </is>
      </c>
      <c r="G6" s="6" t="inlineStr">
        <is>
          <t>Handbook Module 09 — AI System Design Casebook</t>
        </is>
      </c>
      <c r="H6" s="6" t="inlineStr">
        <is>
          <t>Handbook/09_AI_System_Design_Casebook/05_Logistics_Exception_Handling.md</t>
        </is>
      </c>
      <c r="I6" s="6" t="inlineStr"/>
      <c r="J6" s="6" t="inlineStr">
        <is>
          <t>FDE/System_Design and Delivery/AI Logistics Exception-Handling Assistant Design.md; Mock - AI Exception-Handling Assistant.md (older source, md + html)</t>
        </is>
      </c>
      <c r="K6" s="6" t="inlineStr">
        <is>
          <t>md (+ html in older copy)</t>
        </is>
      </c>
      <c r="L6" s="6" t="inlineStr">
        <is>
          <t>Yes</t>
        </is>
      </c>
      <c r="M6" s="6" t="inlineStr">
        <is>
          <t>Clarifying questions; streaming + batch unified; Policy Gate; shared control plane, regional data planes</t>
        </is>
      </c>
      <c r="N6" s="6" t="inlineStr">
        <is>
          <t>G17_Logistics_Exception_Handling/</t>
        </is>
      </c>
      <c r="O6" s="12" t="inlineStr">
        <is>
          <t>https://forward-deployed-sigma.vercel.app/modules/15-fde-case-studies/agents-that-act/logistics-exception-handling</t>
        </is>
      </c>
    </row>
    <row r="7">
      <c r="A7" s="6" t="n">
        <v>6</v>
      </c>
      <c r="B7" s="6" t="inlineStr">
        <is>
          <t>Worked system design</t>
        </is>
      </c>
      <c r="C7" s="6" t="inlineStr">
        <is>
          <t>G01 Enterprise knowledge assistant (permission-aware RAG)</t>
        </is>
      </c>
      <c r="D7" s="6" t="inlineStr">
        <is>
          <t>Covered by anchor — read delta only</t>
        </is>
      </c>
      <c r="E7" s="6" t="inlineStr">
        <is>
          <t>60-min whiteboard script of the same design. Use it to rehearse timing; content is the anchor's.</t>
        </is>
      </c>
      <c r="F7" s="6" t="inlineStr">
        <is>
          <t>Enterprise RAG with Access Control</t>
        </is>
      </c>
      <c r="G7" s="6" t="inlineStr">
        <is>
          <t>Handbook Module 09 — 60-minute whiteboard scripts</t>
        </is>
      </c>
      <c r="H7" s="6" t="inlineStr">
        <is>
          <t>Handbook/09_AI_System_Design_Casebook/whiteboard_scripts/01_Enterprise_RAG_With_Access_Control.md</t>
        </is>
      </c>
      <c r="I7" s="6" t="inlineStr"/>
      <c r="J7" s="6" t="inlineStr"/>
      <c r="K7" s="6" t="inlineStr">
        <is>
          <t>md</t>
        </is>
      </c>
      <c r="L7" s="6" t="inlineStr">
        <is>
          <t>Yes</t>
        </is>
      </c>
      <c r="M7" s="6" t="inlineStr">
        <is>
          <t>Minute-by-minute performance script. Built in Handbook Module 04</t>
        </is>
      </c>
      <c r="N7" s="6" t="inlineStr">
        <is>
          <t>G01_Enterprise_Knowledge_Assistant/</t>
        </is>
      </c>
      <c r="O7" s="12" t="inlineStr">
        <is>
          <t>https://forward-deployed-sigma.vercel.app/modules/15-fde-case-studies/knowledge-retrieval/enterprise-knowledge-assistant</t>
        </is>
      </c>
    </row>
    <row r="8">
      <c r="A8" s="6" t="n">
        <v>7</v>
      </c>
      <c r="B8" s="6" t="inlineStr">
        <is>
          <t>Worked system design</t>
        </is>
      </c>
      <c r="C8" s="6" t="inlineStr">
        <is>
          <t>G01 Enterprise knowledge assistant (permission-aware RAG)</t>
        </is>
      </c>
      <c r="D8" s="6" t="inlineStr">
        <is>
          <t>Covered by anchor — read delta only</t>
        </is>
      </c>
      <c r="E8" s="6" t="inlineStr">
        <is>
          <t>Databricks/Lakehouse variant. Delta: leads with the Vector Search trap and Unity Catalog ACLs. Worth 15 min given your employer.</t>
        </is>
      </c>
      <c r="F8" s="6" t="inlineStr">
        <is>
          <t>Enterprise RAG on Databricks (Lakehouse audience)</t>
        </is>
      </c>
      <c r="G8" s="6" t="inlineStr">
        <is>
          <t>Handbook Module 09 — 60-minute whiteboard scripts</t>
        </is>
      </c>
      <c r="H8" s="6" t="inlineStr">
        <is>
          <t>Handbook/09_AI_System_Design_Casebook/whiteboard_scripts/02_Enterprise_RAG_On_Databricks.md</t>
        </is>
      </c>
      <c r="I8" s="6" t="inlineStr"/>
      <c r="J8" s="6" t="inlineStr"/>
      <c r="K8" s="6" t="inlineStr">
        <is>
          <t>md</t>
        </is>
      </c>
      <c r="L8" s="6" t="inlineStr">
        <is>
          <t>Yes</t>
        </is>
      </c>
      <c r="M8" s="6" t="inlineStr">
        <is>
          <t>Minute-by-minute performance script. Built in Handbook Module 08 doc 3</t>
        </is>
      </c>
      <c r="N8" s="6" t="inlineStr">
        <is>
          <t>G01_Enterprise_Knowledge_Assistant/</t>
        </is>
      </c>
      <c r="O8" s="12" t="inlineStr">
        <is>
          <t>https://forward-deployed-sigma.vercel.app/modules/15-fde-case-studies/knowledge-retrieval/enterprise-knowledge-assistant</t>
        </is>
      </c>
    </row>
    <row r="9">
      <c r="A9" s="8" t="n">
        <v>8</v>
      </c>
      <c r="B9" s="8" t="inlineStr">
        <is>
          <t>Worked system design</t>
        </is>
      </c>
      <c r="C9" s="8" t="inlineStr">
        <is>
          <t>G15 Agent platform for non-technical users</t>
        </is>
      </c>
      <c r="D9" s="9" t="inlineStr">
        <is>
          <t>ANCHOR — prepare this</t>
        </is>
      </c>
      <c r="E9" s="8" t="inlineStr">
        <is>
          <t>Anchor: 60-min whiteboard script. Cost/latency self-drill on the Drill Add-ons tab.</t>
        </is>
      </c>
      <c r="F9" s="8" t="inlineStr">
        <is>
          <t>Agent Platform for Non-Technical Users (multi-channel workflow automation)</t>
        </is>
      </c>
      <c r="G9" s="6" t="inlineStr">
        <is>
          <t>Handbook Module 09 — 60-minute whiteboard scripts</t>
        </is>
      </c>
      <c r="H9" s="6" t="inlineStr">
        <is>
          <t>Handbook/09_AI_System_Design_Casebook/whiteboard_scripts/03_Agent_Platform_For_Non_Technical_Users.md</t>
        </is>
      </c>
      <c r="I9" s="6" t="inlineStr"/>
      <c r="J9" s="6" t="inlineStr"/>
      <c r="K9" s="6" t="inlineStr">
        <is>
          <t>md</t>
        </is>
      </c>
      <c r="L9" s="6" t="inlineStr">
        <is>
          <t>Yes</t>
        </is>
      </c>
      <c r="M9" s="6" t="inlineStr">
        <is>
          <t>Minute-by-minute performance script. Built in Handbook Module 05</t>
        </is>
      </c>
      <c r="N9" s="6" t="inlineStr">
        <is>
          <t>G15_Agent_Platform_For_Non_Technical_Users/</t>
        </is>
      </c>
      <c r="O9" s="12" t="inlineStr">
        <is>
          <t>https://forward-deployed-sigma.vercel.app/modules/15-fde-case-studies/platforms-and-scale/agent-platform-for-non-technical-users</t>
        </is>
      </c>
    </row>
    <row r="10">
      <c r="A10" s="8" t="n">
        <v>9</v>
      </c>
      <c r="B10" s="8" t="inlineStr">
        <is>
          <t>Worked system design</t>
        </is>
      </c>
      <c r="C10" s="8" t="inlineStr">
        <is>
          <t>G12 Delivery framework: scoping doc to deployed agent in two weeks</t>
        </is>
      </c>
      <c r="D10" s="9" t="inlineStr">
        <is>
          <t>ANCHOR — prepare this</t>
        </is>
      </c>
      <c r="E10" s="8" t="inlineStr">
        <is>
          <t>Anchor: 60-min whiteboard script. Cost/latency self-drill on the Drill Add-ons tab.</t>
        </is>
      </c>
      <c r="F10" s="8" t="inlineStr">
        <is>
          <t>Scoping Doc to Deployed Agent in Two Weeks (delivery framework)</t>
        </is>
      </c>
      <c r="G10" s="6" t="inlineStr">
        <is>
          <t>Handbook Module 09 — 60-minute whiteboard scripts</t>
        </is>
      </c>
      <c r="H10" s="6" t="inlineStr">
        <is>
          <t>Handbook/09_AI_System_Design_Casebook/whiteboard_scripts/04_Scoping_Doc_To_Deployed_Agent_In_Two_Weeks.md</t>
        </is>
      </c>
      <c r="I10" s="6" t="inlineStr"/>
      <c r="J10" s="6" t="inlineStr"/>
      <c r="K10" s="6" t="inlineStr">
        <is>
          <t>md</t>
        </is>
      </c>
      <c r="L10" s="6" t="inlineStr">
        <is>
          <t>Yes</t>
        </is>
      </c>
      <c r="M10" s="6" t="inlineStr">
        <is>
          <t>Minute-by-minute performance script. Built in Handbook Module 10</t>
        </is>
      </c>
      <c r="N10" s="6" t="inlineStr">
        <is>
          <t>G12_Scoping_To_Deployed_Agent/</t>
        </is>
      </c>
      <c r="O10" s="12" t="inlineStr">
        <is>
          <t>https://forward-deployed-sigma.vercel.app/modules/15-fde-case-studies/delivery-evaluation-operations/scoping-to-deployed-agent</t>
        </is>
      </c>
    </row>
    <row r="11">
      <c r="A11" s="8" t="n">
        <v>10</v>
      </c>
      <c r="B11" s="8" t="inlineStr">
        <is>
          <t>Worked system design</t>
        </is>
      </c>
      <c r="C11" s="8" t="inlineStr">
        <is>
          <t>G11 Deep research agent</t>
        </is>
      </c>
      <c r="D11" s="9" t="inlineStr">
        <is>
          <t>ANCHOR — prepare this</t>
        </is>
      </c>
      <c r="E11" s="8" t="inlineStr">
        <is>
          <t>Anchor: worked design with the script and the arithmetic. Cost/latency self-drill on the Drill Add-ons tab.</t>
        </is>
      </c>
      <c r="F11" s="8" t="inlineStr">
        <is>
          <t>Deep Research Agent at consumer scale</t>
        </is>
      </c>
      <c r="G11" s="6" t="inlineStr">
        <is>
          <t>Cracking Agentic AI System Design Interviews — Ch 28</t>
        </is>
      </c>
      <c r="H11" s="6" t="inlineStr">
        <is>
          <t>FDE/Cracking_Agentic_AI_System_Design_Interviews/ch28_system_design_interview.md</t>
        </is>
      </c>
      <c r="I11" s="6" t="inlineStr"/>
      <c r="J11" s="6" t="inlineStr"/>
      <c r="K11" s="6" t="inlineStr">
        <is>
          <t>md + html</t>
        </is>
      </c>
      <c r="L11" s="6" t="inlineStr">
        <is>
          <t>Yes</t>
        </is>
      </c>
      <c r="M11" s="6" t="inlineStr">
        <is>
          <t>Worked Design One. Ch 23 (system design patterns) is the vocabulary it uses.</t>
        </is>
      </c>
      <c r="N11" s="6" t="inlineStr">
        <is>
          <t>G11_Deep_Research_Agent/</t>
        </is>
      </c>
      <c r="O11" s="12" t="inlineStr">
        <is>
          <t>https://forward-deployed-sigma.vercel.app/modules/15-fde-case-studies/knowledge-retrieval/deep-research-agent</t>
        </is>
      </c>
    </row>
    <row r="12">
      <c r="A12" s="8" t="n">
        <v>11</v>
      </c>
      <c r="B12" s="8" t="inlineStr">
        <is>
          <t>Worked system design</t>
        </is>
      </c>
      <c r="C12" s="8" t="inlineStr">
        <is>
          <t>G04 SRE / incident-response agent</t>
        </is>
      </c>
      <c r="D12" s="9" t="inlineStr">
        <is>
          <t>ANCHOR — prepare this</t>
        </is>
      </c>
      <c r="E12" s="8" t="inlineStr">
        <is>
          <t>Anchor: full worked design with the arithmetic (write-capable, 30-second latency floor). Cost/latency self-drill on the Drill Add-ons tab.</t>
        </is>
      </c>
      <c r="F12" s="8" t="inlineStr">
        <is>
          <t>Incident Response Agent for an SRE team</t>
        </is>
      </c>
      <c r="G12" s="6" t="inlineStr">
        <is>
          <t>Cracking Agentic AI System Design Interviews — Ch 28</t>
        </is>
      </c>
      <c r="H12" s="6" t="inlineStr">
        <is>
          <t>FDE/Cracking_Agentic_AI_System_Design_Interviews/ch28_system_design_interview.md</t>
        </is>
      </c>
      <c r="I12" s="6" t="inlineStr"/>
      <c r="J12" s="6" t="inlineStr"/>
      <c r="K12" s="6" t="inlineStr">
        <is>
          <t>md + html</t>
        </is>
      </c>
      <c r="L12" s="6" t="inlineStr">
        <is>
          <t>Yes</t>
        </is>
      </c>
      <c r="M12" s="6" t="inlineStr">
        <is>
          <t>Worked Design Two.</t>
        </is>
      </c>
      <c r="N12" s="6" t="inlineStr">
        <is>
          <t>G04_SRE_Incident_Response_Agent/</t>
        </is>
      </c>
      <c r="O12" s="12" t="inlineStr">
        <is>
          <t>https://forward-deployed-sigma.vercel.app/modules/15-fde-case-studies/agents-that-act/sre-incident-response-agent</t>
        </is>
      </c>
    </row>
    <row r="13">
      <c r="A13" s="6" t="n">
        <v>12</v>
      </c>
      <c r="B13" s="6" t="inlineStr">
        <is>
          <t>Worked system design</t>
        </is>
      </c>
      <c r="C13" s="6" t="inlineStr">
        <is>
          <t>G11 Deep research agent</t>
        </is>
      </c>
      <c r="D13" s="6" t="inlineStr">
        <is>
          <t>Covered by anchor — read delta only</t>
        </is>
      </c>
      <c r="E13" s="6" t="inlineStr">
        <is>
          <t>The same product as a deployed AWS/LangGraph system. Delta: infra layers (gateway, guardrails, pgvector, PyRIT). Read once as proof.</t>
        </is>
      </c>
      <c r="F13" s="6" t="inlineStr">
        <is>
          <t>The Research Platform (multi-agent)</t>
        </is>
      </c>
      <c r="G13" s="6" t="inlineStr">
        <is>
          <t>Handbook Module 07 — Multi-Agent Systems</t>
        </is>
      </c>
      <c r="H13" s="6" t="inlineStr">
        <is>
          <t>Handbook/07_Multi_Agent_Systems/04_Case_Study_Research_Platform.md</t>
        </is>
      </c>
      <c r="I13" s="6" t="inlineStr"/>
      <c r="J13" s="6" t="inlineStr"/>
      <c r="K13" s="6" t="inlineStr">
        <is>
          <t>md</t>
        </is>
      </c>
      <c r="L13" s="6" t="inlineStr">
        <is>
          <t>Yes</t>
        </is>
      </c>
      <c r="M13" s="6" t="inlineStr"/>
      <c r="N13" s="6" t="inlineStr">
        <is>
          <t>G11_Deep_Research_Agent/</t>
        </is>
      </c>
      <c r="O13" s="12" t="inlineStr">
        <is>
          <t>https://forward-deployed-sigma.vercel.app/modules/15-fde-case-studies/knowledge-retrieval/deep-research-agent</t>
        </is>
      </c>
    </row>
    <row r="14">
      <c r="A14" s="6" t="n">
        <v>13</v>
      </c>
      <c r="B14" s="6" t="inlineStr">
        <is>
          <t>Worked system design</t>
        </is>
      </c>
      <c r="C14" s="6" t="inlineStr">
        <is>
          <t>G06 Natural language over governed data (NL-to-SQL, KPI copilot)</t>
        </is>
      </c>
      <c r="D14" s="6" t="inlineStr">
        <is>
          <t>Covered by anchor — read delta only</t>
        </is>
      </c>
      <c r="E14" s="6" t="inlineStr">
        <is>
          <t>Your AIA governed-data assistant told as architecture evolution (supervisor → deep agent). Delta: multi-agent evolution; also your STAR story.</t>
        </is>
      </c>
      <c r="F14" s="6" t="inlineStr">
        <is>
          <t>From Supervisor to Deep Agent (multi-agent)</t>
        </is>
      </c>
      <c r="G14" s="6" t="inlineStr">
        <is>
          <t>Handbook Module 07 — Multi-Agent Systems</t>
        </is>
      </c>
      <c r="H14" s="6" t="inlineStr">
        <is>
          <t>Handbook/07_Multi_Agent_Systems/05_Case_Study_Supervisor_To_Deep_Agent.md</t>
        </is>
      </c>
      <c r="I14" s="6" t="inlineStr"/>
      <c r="J14" s="6" t="inlineStr"/>
      <c r="K14" s="6" t="inlineStr">
        <is>
          <t>md</t>
        </is>
      </c>
      <c r="L14" s="6" t="inlineStr">
        <is>
          <t>Yes</t>
        </is>
      </c>
      <c r="M14" s="6" t="inlineStr"/>
      <c r="N14" s="6" t="inlineStr">
        <is>
          <t>G06_NL_Over_Governed_Data/</t>
        </is>
      </c>
      <c r="O14" s="12" t="inlineStr">
        <is>
          <t>https://forward-deployed-sigma.vercel.app/modules/15-fde-case-studies/knowledge-retrieval/nl-over-governed-data</t>
        </is>
      </c>
    </row>
    <row r="15">
      <c r="A15" s="6" t="n">
        <v>14</v>
      </c>
      <c r="B15" s="6" t="inlineStr">
        <is>
          <t>Worked system design</t>
        </is>
      </c>
      <c r="C15" s="6" t="inlineStr">
        <is>
          <t>— standalone</t>
        </is>
      </c>
      <c r="D15" s="6" t="inlineStr">
        <is>
          <t>Prepare on its own</t>
        </is>
      </c>
      <c r="E15" s="6" t="inlineStr">
        <is>
          <t>Foundations worked example for the 12-part framework. No sibling.</t>
        </is>
      </c>
      <c r="F15" s="6" t="inlineStr">
        <is>
          <t>The Travel Agent (12-part framework worked example)</t>
        </is>
      </c>
      <c r="G15" s="6" t="inlineStr">
        <is>
          <t>Handbook Module 02 — System Design Fundamentals</t>
        </is>
      </c>
      <c r="H15" s="6" t="inlineStr">
        <is>
          <t>Handbook/02_System_Design_Fundamentals/04_Worked_Example_Travel_Agent.md</t>
        </is>
      </c>
      <c r="I15" s="6" t="inlineStr"/>
      <c r="J15" s="6" t="inlineStr">
        <is>
          <t>FDE/System_Design and Delivery/1. System Design Overview.md (source)</t>
        </is>
      </c>
      <c r="K15" s="6" t="inlineStr">
        <is>
          <t>md</t>
        </is>
      </c>
      <c r="L15" s="6" t="inlineStr">
        <is>
          <t>Yes</t>
        </is>
      </c>
      <c r="M15" s="6" t="inlineStr">
        <is>
          <t>Foundations-level worked example.</t>
        </is>
      </c>
      <c r="N15" s="6" t="inlineStr">
        <is>
          <t>Standalone/14_Travel_Agent_Worked_Example/  [copied source files (folder)]</t>
        </is>
      </c>
      <c r="O15" s="12" t="inlineStr">
        <is>
          <t>https://forward-deployed-sigma.vercel.app/modules/15-fde-case-studies/standalone-designs/travel-agent-worked-example</t>
        </is>
      </c>
    </row>
    <row r="16">
      <c r="A16" s="8" t="n">
        <v>15</v>
      </c>
      <c r="B16" s="8" t="inlineStr">
        <is>
          <t>Worksheet + answer key</t>
        </is>
      </c>
      <c r="C16" s="8" t="inlineStr">
        <is>
          <t>G01 Enterprise knowledge assistant (permission-aware RAG)</t>
        </is>
      </c>
      <c r="D16" s="9" t="inlineStr">
        <is>
          <t>ANCHOR — prepare this</t>
        </is>
      </c>
      <c r="E16" s="8" t="inlineStr">
        <is>
          <t>Anchor: bespoke worksheet + answer key + V1/V2 tutorials. Then rehearse #6 aloud against the clock.</t>
        </is>
      </c>
      <c r="F16" s="8" t="inlineStr">
        <is>
          <t>Enterprise Knowledge Assistant with RAG (book ch 1)</t>
        </is>
      </c>
      <c r="G16" s="6" t="inlineStr">
        <is>
          <t>FDE System Design Interview — 20 Scenarios (Version 3)</t>
        </is>
      </c>
      <c r="H16" s="6" t="inlineStr">
        <is>
          <t>FDE/FDE_System_Design_Interview_20_Scenarios/Version_3/01_enterprise_knowledge_assistant_rag.md</t>
        </is>
      </c>
      <c r="I16" s="6" t="inlineStr">
        <is>
          <t>FDE/FDE_System_Design_Interview_20_Scenarios/Version_3/answer_keys/01_enterprise_knowledge_assistant_rag_answer_key.md</t>
        </is>
      </c>
      <c r="J16" s="6" t="inlineStr">
        <is>
          <t>V1 long tutorial: FDE/FDE_System_Design_Interview_20_Scenarios/Version_1/chapter-1-enterprise-knowledge-assistant-rag-tutorial.md | V2 cram: FDE/FDE_System_Design_Interview_20_Scenarios/Version_2/chapter-1-enterprise-knowledge-assistant-rag-tutorial_v2.md | Site: site/content/modules/01-customer-discovery-and-decomposition/system-design/worksheets/enterprise-knowledge-assistant-rag.md</t>
        </is>
      </c>
      <c r="K16" s="6" t="inlineStr">
        <is>
          <t>worksheet md + answer key md + V1/V2 tutorials + site page</t>
        </is>
      </c>
      <c r="L16" s="6" t="inlineStr">
        <is>
          <t>Yes</t>
        </is>
      </c>
      <c r="M16" s="6" t="inlineStr">
        <is>
          <t>Source: The Forward Deployed Engineer System Design Interview (Kindle). Ch 21 V1 also has an uncondensed tutorial.</t>
        </is>
      </c>
      <c r="N16" s="6" t="inlineStr">
        <is>
          <t>G01_Enterprise_Knowledge_Assistant/</t>
        </is>
      </c>
      <c r="O16" s="12" t="inlineStr">
        <is>
          <t>https://forward-deployed-sigma.vercel.app/modules/15-fde-case-studies/knowledge-retrieval/enterprise-knowledge-assistant</t>
        </is>
      </c>
    </row>
    <row r="17">
      <c r="A17" s="8" t="n">
        <v>16</v>
      </c>
      <c r="B17" s="8" t="inlineStr">
        <is>
          <t>Worksheet + answer key</t>
        </is>
      </c>
      <c r="C17" s="8" t="inlineStr">
        <is>
          <t>G07 Secure multi-tenant AI platform</t>
        </is>
      </c>
      <c r="D17" s="9" t="inlineStr">
        <is>
          <t>ANCHOR — prepare this</t>
        </is>
      </c>
      <c r="E17" s="8" t="inlineStr">
        <is>
          <t>Anchor: bespoke worksheet + answer key.</t>
        </is>
      </c>
      <c r="F17" s="8" t="inlineStr">
        <is>
          <t>Secure Multi-Tenant AI Platform (book ch 2)</t>
        </is>
      </c>
      <c r="G17" s="6" t="inlineStr">
        <is>
          <t>FDE System Design Interview — 20 Scenarios (Version 3)</t>
        </is>
      </c>
      <c r="H17" s="6" t="inlineStr">
        <is>
          <t>FDE/FDE_System_Design_Interview_20_Scenarios/Version_3/02_secure_multi_tenant_ai_platform.md</t>
        </is>
      </c>
      <c r="I17" s="6" t="inlineStr">
        <is>
          <t>FDE/FDE_System_Design_Interview_20_Scenarios/Version_3/answer_keys/02_secure_multi_tenant_ai_platform_answer_key.md</t>
        </is>
      </c>
      <c r="J17" s="6" t="inlineStr">
        <is>
          <t>V1 long tutorial: FDE/FDE_System_Design_Interview_20_Scenarios/Version_1/chapter-2-secure-multi-tenant-ai-platform-tutorial.md | V2 cram: FDE/FDE_System_Design_Interview_20_Scenarios/Version_2/chapter-2-secure-multi-tenant-ai-platform-tutorial_v2.md | Site: site/content/modules/01-customer-discovery-and-decomposition/system-design/worksheets/secure-multi-tenant-ai-platform.md</t>
        </is>
      </c>
      <c r="K17" s="6" t="inlineStr">
        <is>
          <t>worksheet md + answer key md + V1/V2 tutorials + site page</t>
        </is>
      </c>
      <c r="L17" s="6" t="inlineStr">
        <is>
          <t>Yes</t>
        </is>
      </c>
      <c r="M17" s="6" t="inlineStr">
        <is>
          <t>Source: The Forward Deployed Engineer System Design Interview (Kindle). Ch 21 V1 also has an uncondensed tutorial.</t>
        </is>
      </c>
      <c r="N17" s="6" t="inlineStr">
        <is>
          <t>G07_Secure_Multi_Tenant_AI_Platform/</t>
        </is>
      </c>
      <c r="O17" s="12" t="inlineStr">
        <is>
          <t>https://forward-deployed-sigma.vercel.app/modules/15-fde-case-studies/platforms-and-scale/secure-multi-tenant-ai-platform</t>
        </is>
      </c>
    </row>
    <row r="18">
      <c r="A18" s="8" t="n">
        <v>17</v>
      </c>
      <c r="B18" s="8" t="inlineStr">
        <is>
          <t>Worksheet + answer key</t>
        </is>
      </c>
      <c r="C18" s="8" t="inlineStr">
        <is>
          <t>G06 Natural language over governed data (NL-to-SQL, KPI copilot)</t>
        </is>
      </c>
      <c r="D18" s="9" t="inlineStr">
        <is>
          <t>ANCHOR — prepare this</t>
        </is>
      </c>
      <c r="E18" s="8" t="inlineStr">
        <is>
          <t>Anchor: bespoke worksheet + answer key; semantic layer, metric ownership, ambiguity handling. Cost/latency self-drill on the Drill Add-ons tab.</t>
        </is>
      </c>
      <c r="F18" s="8" t="inlineStr">
        <is>
          <t>Natural-Language-to-SQL Analytics Assistant (book ch 3)</t>
        </is>
      </c>
      <c r="G18" s="6" t="inlineStr">
        <is>
          <t>FDE System Design Interview — 20 Scenarios (Version 3)</t>
        </is>
      </c>
      <c r="H18" s="6" t="inlineStr">
        <is>
          <t>FDE/FDE_System_Design_Interview_20_Scenarios/Version_3/03_natural_language_to_sql_analytics_assistant.md</t>
        </is>
      </c>
      <c r="I18" s="6" t="inlineStr">
        <is>
          <t>FDE/FDE_System_Design_Interview_20_Scenarios/Version_3/answer_keys/03_natural_language_to_sql_analytics_assistant_answer_key.md</t>
        </is>
      </c>
      <c r="J18" s="6" t="inlineStr">
        <is>
          <t>V1 long tutorial: FDE/FDE_System_Design_Interview_20_Scenarios/Version_1/chapter-3-natural-language-to-sql-analytics-assistant-tutorial.md | V2 cram: FDE/FDE_System_Design_Interview_20_Scenarios/Version_2/chapter-3-natural-language-to-sql-analytics-assistant-tutorial_v2.md | Site: site/content/modules/01-customer-discovery-and-decomposition/system-design/worksheets/natural-language-to-sql-analytics-assistant.md</t>
        </is>
      </c>
      <c r="K18" s="6" t="inlineStr">
        <is>
          <t>worksheet md + answer key md + V1/V2 tutorials + site page</t>
        </is>
      </c>
      <c r="L18" s="6" t="inlineStr">
        <is>
          <t>Yes</t>
        </is>
      </c>
      <c r="M18" s="6" t="inlineStr">
        <is>
          <t>Source: The Forward Deployed Engineer System Design Interview (Kindle). Ch 21 V1 also has an uncondensed tutorial.</t>
        </is>
      </c>
      <c r="N18" s="6" t="inlineStr">
        <is>
          <t>G06_NL_Over_Governed_Data/</t>
        </is>
      </c>
      <c r="O18" s="12" t="inlineStr">
        <is>
          <t>https://forward-deployed-sigma.vercel.app/modules/15-fde-case-studies/knowledge-retrieval/nl-over-governed-data</t>
        </is>
      </c>
    </row>
    <row r="19">
      <c r="A19" s="8" t="n">
        <v>18</v>
      </c>
      <c r="B19" s="8" t="inlineStr">
        <is>
          <t>Worksheet + answer key</t>
        </is>
      </c>
      <c r="C19" s="8" t="inlineStr">
        <is>
          <t>G02 Customer-support automation</t>
        </is>
      </c>
      <c r="D19" s="9" t="inlineStr">
        <is>
          <t>ANCHOR — prepare this</t>
        </is>
      </c>
      <c r="E19" s="8" t="inlineStr">
        <is>
          <t>Anchor: bespoke worksheet + answer key + tutorials; covers autonomous vs approved actions and handoff.</t>
        </is>
      </c>
      <c r="F19" s="8" t="inlineStr">
        <is>
          <t>AI Customer-Support Automation (book ch 4)</t>
        </is>
      </c>
      <c r="G19" s="6" t="inlineStr">
        <is>
          <t>FDE System Design Interview — 20 Scenarios (Version 3)</t>
        </is>
      </c>
      <c r="H19" s="6" t="inlineStr">
        <is>
          <t>FDE/FDE_System_Design_Interview_20_Scenarios/Version_3/04_ai_customer_support_automation.md</t>
        </is>
      </c>
      <c r="I19" s="6" t="inlineStr">
        <is>
          <t>FDE/FDE_System_Design_Interview_20_Scenarios/Version_3/answer_keys/04_ai_customer_support_automation_answer_key.md</t>
        </is>
      </c>
      <c r="J19" s="6" t="inlineStr">
        <is>
          <t>V1 long tutorial: FDE/FDE_System_Design_Interview_20_Scenarios/Version_1/chapter-4-ai-customer-support-automation-tutorial.md | V2 cram: FDE/FDE_System_Design_Interview_20_Scenarios/Version_2/chapter-4-ai-customer-support-automation-tutorial_v2.md | Site: site/content/modules/01-customer-discovery-and-decomposition/system-design/worksheets/ai-customer-support-automation.md</t>
        </is>
      </c>
      <c r="K19" s="6" t="inlineStr">
        <is>
          <t>worksheet md + answer key md + V1/V2 tutorials + site page</t>
        </is>
      </c>
      <c r="L19" s="6" t="inlineStr">
        <is>
          <t>Yes</t>
        </is>
      </c>
      <c r="M19" s="6" t="inlineStr">
        <is>
          <t>Source: The Forward Deployed Engineer System Design Interview (Kindle). Ch 21 V1 also has an uncondensed tutorial.</t>
        </is>
      </c>
      <c r="N19" s="6" t="inlineStr">
        <is>
          <t>G02_Customer_Support_Automation/</t>
        </is>
      </c>
      <c r="O19" s="12" t="inlineStr">
        <is>
          <t>https://forward-deployed-sigma.vercel.app/modules/15-fde-case-studies/agents-that-act/customer-support-automation</t>
        </is>
      </c>
    </row>
    <row r="20">
      <c r="A20" s="6" t="n">
        <v>19</v>
      </c>
      <c r="B20" s="6" t="inlineStr">
        <is>
          <t>Worksheet + answer key</t>
        </is>
      </c>
      <c r="C20" s="6" t="inlineStr">
        <is>
          <t>— standalone</t>
        </is>
      </c>
      <c r="D20" s="6" t="inlineStr">
        <is>
          <t>Prepare on its own</t>
        </is>
      </c>
      <c r="E20" s="6" t="inlineStr">
        <is>
          <t>Air-gapped — the boundary is the design. No sibling.</t>
        </is>
      </c>
      <c r="F20" s="6" t="inlineStr">
        <is>
          <t>AI System for an Air-Gapped Environment (book ch 7)</t>
        </is>
      </c>
      <c r="G20" s="6" t="inlineStr">
        <is>
          <t>FDE System Design Interview — 20 Scenarios (Version 3)</t>
        </is>
      </c>
      <c r="H20" s="6" t="inlineStr">
        <is>
          <t>FDE/FDE_System_Design_Interview_20_Scenarios/Version_3/07_ai_system_for_an_air_gapped_environment.md</t>
        </is>
      </c>
      <c r="I20" s="6" t="inlineStr">
        <is>
          <t>FDE/FDE_System_Design_Interview_20_Scenarios/Version_3/answer_keys/07_ai_system_for_an_air_gapped_environment_answer_key.md</t>
        </is>
      </c>
      <c r="J20" s="6" t="inlineStr">
        <is>
          <t>V1 long tutorial: FDE/FDE_System_Design_Interview_20_Scenarios/Version_1/chapter-7-ai-system-for-an-air-gapped-environment-tutorial.md | V2 cram: FDE/FDE_System_Design_Interview_20_Scenarios/Version_2/chapter-7-ai-system-for-an-air-gapped-environment-tutorial_v2.md | Site: site/content/modules/01-customer-discovery-and-decomposition/system-design/worksheets/ai-system-for-an-air-gapped-environment.md</t>
        </is>
      </c>
      <c r="K20" s="6" t="inlineStr">
        <is>
          <t>worksheet md + answer key md + V1/V2 tutorials + site page</t>
        </is>
      </c>
      <c r="L20" s="6" t="inlineStr">
        <is>
          <t>Yes</t>
        </is>
      </c>
      <c r="M20" s="6" t="inlineStr">
        <is>
          <t>Source: The Forward Deployed Engineer System Design Interview (Kindle). Ch 21 V1 also has an uncondensed tutorial.</t>
        </is>
      </c>
      <c r="N20" s="6" t="inlineStr">
        <is>
          <t>Standalone/19_Air_Gapped_AI_System/  [copied source files (folder)]</t>
        </is>
      </c>
      <c r="O20" s="12" t="inlineStr">
        <is>
          <t>https://forward-deployed-sigma.vercel.app/modules/15-fde-case-studies/standalone-designs/air-gapped-ai-system</t>
        </is>
      </c>
    </row>
    <row r="21">
      <c r="A21" s="8" t="n">
        <v>20</v>
      </c>
      <c r="B21" s="8" t="inlineStr">
        <is>
          <t>Worksheet + answer key</t>
        </is>
      </c>
      <c r="C21" s="8" t="inlineStr">
        <is>
          <t>G13 Evaluation and release gating</t>
        </is>
      </c>
      <c r="D21" s="9" t="inlineStr">
        <is>
          <t>ANCHOR — prepare this</t>
        </is>
      </c>
      <c r="E21" s="8" t="inlineStr">
        <is>
          <t>Anchor: bespoke worksheet + answer key. Cost/latency self-drill on the Drill Add-ons tab.</t>
        </is>
      </c>
      <c r="F21" s="8" t="inlineStr">
        <is>
          <t>LLM Evaluation and Release-Gating Platform (book ch 9)</t>
        </is>
      </c>
      <c r="G21" s="6" t="inlineStr">
        <is>
          <t>FDE System Design Interview — 20 Scenarios (Version 3)</t>
        </is>
      </c>
      <c r="H21" s="6" t="inlineStr">
        <is>
          <t>FDE/FDE_System_Design_Interview_20_Scenarios/Version_3/09_llm_evaluation_and_release_gating_platform.md</t>
        </is>
      </c>
      <c r="I21" s="6" t="inlineStr">
        <is>
          <t>FDE/FDE_System_Design_Interview_20_Scenarios/Version_3/answer_keys/09_llm_evaluation_and_release_gating_platform_answer_key.md</t>
        </is>
      </c>
      <c r="J21" s="6" t="inlineStr">
        <is>
          <t>V1 long tutorial: FDE/FDE_System_Design_Interview_20_Scenarios/Version_1/chapter-9-llm-evaluation-and-release-gating-platform-tutorial.md | V2 cram: FDE/FDE_System_Design_Interview_20_Scenarios/Version_2/chapter-9-llm-evaluation-and-release-gating-platform-tutorial_v2.md | Site: site/content/modules/01-customer-discovery-and-decomposition/system-design/worksheets/llm-evaluation-and-release-gating-platform.md</t>
        </is>
      </c>
      <c r="K21" s="6" t="inlineStr">
        <is>
          <t>worksheet md + answer key md + V1/V2 tutorials + site page</t>
        </is>
      </c>
      <c r="L21" s="6" t="inlineStr">
        <is>
          <t>Yes</t>
        </is>
      </c>
      <c r="M21" s="6" t="inlineStr">
        <is>
          <t>Source: The Forward Deployed Engineer System Design Interview (Kindle). Ch 21 V1 also has an uncondensed tutorial.</t>
        </is>
      </c>
      <c r="N21" s="6" t="inlineStr">
        <is>
          <t>G13_Evaluation_And_Release_Gating/</t>
        </is>
      </c>
      <c r="O21" s="12" t="inlineStr">
        <is>
          <t>https://forward-deployed-sigma.vercel.app/modules/15-fde-case-studies/delivery-evaluation-operations/evaluation-and-release-gating</t>
        </is>
      </c>
    </row>
    <row r="22">
      <c r="A22" s="8" t="n">
        <v>21</v>
      </c>
      <c r="B22" s="8" t="inlineStr">
        <is>
          <t>Worksheet + answer key</t>
        </is>
      </c>
      <c r="C22" s="8" t="inlineStr">
        <is>
          <t>G10 High-volume batch / document pipeline</t>
        </is>
      </c>
      <c r="D22" s="9" t="inlineStr">
        <is>
          <t>ANCHOR — prepare this</t>
        </is>
      </c>
      <c r="E22" s="8" t="inlineStr">
        <is>
          <t>Anchor: bespoke worksheet + answer key (100M records before 6 a.m.).</t>
        </is>
      </c>
      <c r="F22" s="8" t="inlineStr">
        <is>
          <t>High-Volume Batch Inference System (book ch 10)</t>
        </is>
      </c>
      <c r="G22" s="6" t="inlineStr">
        <is>
          <t>FDE System Design Interview — 20 Scenarios (Version 3)</t>
        </is>
      </c>
      <c r="H22" s="6" t="inlineStr">
        <is>
          <t>FDE/FDE_System_Design_Interview_20_Scenarios/Version_3/10_high_volume_batch_inference_system.md</t>
        </is>
      </c>
      <c r="I22" s="6" t="inlineStr">
        <is>
          <t>FDE/FDE_System_Design_Interview_20_Scenarios/Version_3/answer_keys/10_high_volume_batch_inference_system_answer_key.md</t>
        </is>
      </c>
      <c r="J22" s="6" t="inlineStr">
        <is>
          <t>V1 long tutorial: FDE/FDE_System_Design_Interview_20_Scenarios/Version_1/chapter-10-high-volume-batch-inference-system-tutorial.md | V2 cram: FDE/FDE_System_Design_Interview_20_Scenarios/Version_2/chapter-10-high-volume-batch-inference-system-tutorial_v2.md | Site: site/content/modules/01-customer-discovery-and-decomposition/system-design/worksheets/high-volume-batch-inference-system.md</t>
        </is>
      </c>
      <c r="K22" s="6" t="inlineStr">
        <is>
          <t>worksheet md + answer key md + V1/V2 tutorials + site page</t>
        </is>
      </c>
      <c r="L22" s="6" t="inlineStr">
        <is>
          <t>Yes</t>
        </is>
      </c>
      <c r="M22" s="6" t="inlineStr">
        <is>
          <t>Source: The Forward Deployed Engineer System Design Interview (Kindle). Ch 21 V1 also has an uncondensed tutorial.</t>
        </is>
      </c>
      <c r="N22" s="6" t="inlineStr">
        <is>
          <t>G10_High_Volume_Batch_Pipeline/</t>
        </is>
      </c>
      <c r="O22" s="12" t="inlineStr">
        <is>
          <t>https://forward-deployed-sigma.vercel.app/modules/15-fde-case-studies/platforms-and-scale/high-volume-batch-pipeline</t>
        </is>
      </c>
    </row>
    <row r="23">
      <c r="A23" s="8" t="n">
        <v>22</v>
      </c>
      <c r="B23" s="8" t="inlineStr">
        <is>
          <t>Worksheet + answer key</t>
        </is>
      </c>
      <c r="C23" s="8" t="inlineStr">
        <is>
          <t>G03 Tool-using agent acting across enterprise systems</t>
        </is>
      </c>
      <c r="D23" s="9" t="inlineStr">
        <is>
          <t>ANCHOR — prepare this</t>
        </is>
      </c>
      <c r="E23" s="8" t="inlineStr">
        <is>
          <t>Anchor: bespoke worksheet + answer key; 'model proposes, never decides' plus rollback and money boundary. Cost/latency self-drill on the Drill Add-ons tab.</t>
        </is>
      </c>
      <c r="F23" s="8" t="inlineStr">
        <is>
          <t>Tool-Using AI Agent with Safety Controls (book ch 11)</t>
        </is>
      </c>
      <c r="G23" s="6" t="inlineStr">
        <is>
          <t>FDE System Design Interview — 20 Scenarios (Version 3)</t>
        </is>
      </c>
      <c r="H23" s="6" t="inlineStr">
        <is>
          <t>FDE/FDE_System_Design_Interview_20_Scenarios/Version_3/11_tool_using_ai_agent_with_safety_controls.md</t>
        </is>
      </c>
      <c r="I23" s="6" t="inlineStr">
        <is>
          <t>FDE/FDE_System_Design_Interview_20_Scenarios/Version_3/answer_keys/11_tool_using_ai_agent_with_safety_controls_answer_key.md</t>
        </is>
      </c>
      <c r="J23" s="6" t="inlineStr">
        <is>
          <t>V1 long tutorial: FDE/FDE_System_Design_Interview_20_Scenarios/Version_1/chapter-11-tool-using-ai-agent-with-safety-controls-tutorial.md | V2 cram: FDE/FDE_System_Design_Interview_20_Scenarios/Version_2/chapter-11-tool-using-ai-agent-with-safety-controls-tutorial_v2.md | Site: site/content/modules/01-customer-discovery-and-decomposition/system-design/worksheets/tool-using-ai-agent-with-safety-controls.md</t>
        </is>
      </c>
      <c r="K23" s="6" t="inlineStr">
        <is>
          <t>worksheet md + answer key md + V1/V2 tutorials + site page</t>
        </is>
      </c>
      <c r="L23" s="6" t="inlineStr">
        <is>
          <t>Yes</t>
        </is>
      </c>
      <c r="M23" s="6" t="inlineStr">
        <is>
          <t>Source: The Forward Deployed Engineer System Design Interview (Kindle). Ch 21 V1 also has an uncondensed tutorial.</t>
        </is>
      </c>
      <c r="N23" s="6" t="inlineStr">
        <is>
          <t>G03_Tool_Using_Agent_With_Safety_Controls/</t>
        </is>
      </c>
      <c r="O23" s="12" t="inlineStr">
        <is>
          <t>https://forward-deployed-sigma.vercel.app/modules/15-fde-case-studies/agents-that-act/tool-using-agent-with-safety-controls</t>
        </is>
      </c>
    </row>
    <row r="24">
      <c r="A24" s="6" t="n">
        <v>23</v>
      </c>
      <c r="B24" s="6" t="inlineStr">
        <is>
          <t>Worksheet + answer key</t>
        </is>
      </c>
      <c r="C24" s="6" t="inlineStr">
        <is>
          <t>— standalone</t>
        </is>
      </c>
      <c r="D24" s="6" t="inlineStr">
        <is>
          <t>Prepare on its own</t>
        </is>
      </c>
      <c r="E24" s="6" t="inlineStr">
        <is>
          <t>Reliable workflow orchestration — exactly-once business effect, compensation, days-long waits. Related to G03/G15 but a different problem.</t>
        </is>
      </c>
      <c r="F24" s="6" t="inlineStr">
        <is>
          <t>Reliable Workflow Orchestration System (book ch 13)</t>
        </is>
      </c>
      <c r="G24" s="6" t="inlineStr">
        <is>
          <t>FDE System Design Interview — 20 Scenarios (Version 3)</t>
        </is>
      </c>
      <c r="H24" s="6" t="inlineStr">
        <is>
          <t>FDE/FDE_System_Design_Interview_20_Scenarios/Version_3/13_reliable_workflow_orchestration_system.md</t>
        </is>
      </c>
      <c r="I24" s="6" t="inlineStr">
        <is>
          <t>FDE/FDE_System_Design_Interview_20_Scenarios/Version_3/answer_keys/13_reliable_workflow_orchestration_system_answer_key.md</t>
        </is>
      </c>
      <c r="J24" s="6" t="inlineStr">
        <is>
          <t>V1 long tutorial: FDE/FDE_System_Design_Interview_20_Scenarios/Version_1/chapter-13-reliable-workflow-orchestration-system-tutorial.md | V2 cram: FDE/FDE_System_Design_Interview_20_Scenarios/Version_2/chapter-13-reliable-workflow-orchestration-system-tutorial_v2.md | Site: site/content/modules/01-customer-discovery-and-decomposition/system-design/worksheets/reliable-workflow-orchestration-system.md</t>
        </is>
      </c>
      <c r="K24" s="6" t="inlineStr">
        <is>
          <t>worksheet md + answer key md + V1/V2 tutorials + site page</t>
        </is>
      </c>
      <c r="L24" s="6" t="inlineStr">
        <is>
          <t>Yes</t>
        </is>
      </c>
      <c r="M24" s="6" t="inlineStr">
        <is>
          <t>Source: The Forward Deployed Engineer System Design Interview (Kindle). Ch 21 V1 also has an uncondensed tutorial.</t>
        </is>
      </c>
      <c r="N24" s="6" t="inlineStr">
        <is>
          <t>Standalone/23_Reliable_Workflow_Orchestration/  [copied source files (folder)]</t>
        </is>
      </c>
      <c r="O24" s="12" t="inlineStr">
        <is>
          <t>https://forward-deployed-sigma.vercel.app/modules/15-fde-case-studies/standalone-designs/reliable-workflow-orchestration</t>
        </is>
      </c>
    </row>
    <row r="25">
      <c r="A25" s="8" t="n">
        <v>24</v>
      </c>
      <c r="B25" s="8" t="inlineStr">
        <is>
          <t>Worksheet + answer key</t>
        </is>
      </c>
      <c r="C25" s="8" t="inlineStr">
        <is>
          <t>G14 Observability and production diagnosis</t>
        </is>
      </c>
      <c r="D25" s="9" t="inlineStr">
        <is>
          <t>ANCHOR — prepare this</t>
        </is>
      </c>
      <c r="E25" s="8" t="inlineStr">
        <is>
          <t>Anchor: bespoke worksheet + answer key.</t>
        </is>
      </c>
      <c r="F25" s="8" t="inlineStr">
        <is>
          <t>Observability for a Customer-Facing AI Application (book ch 15)</t>
        </is>
      </c>
      <c r="G25" s="6" t="inlineStr">
        <is>
          <t>FDE System Design Interview — 20 Scenarios (Version 3)</t>
        </is>
      </c>
      <c r="H25" s="6" t="inlineStr">
        <is>
          <t>FDE/FDE_System_Design_Interview_20_Scenarios/Version_3/15_observability_customer_facing_ai_application.md</t>
        </is>
      </c>
      <c r="I25" s="6" t="inlineStr">
        <is>
          <t>FDE/FDE_System_Design_Interview_20_Scenarios/Version_3/answer_keys/15_observability_customer_facing_ai_application_answer_key.md</t>
        </is>
      </c>
      <c r="J25" s="6" t="inlineStr">
        <is>
          <t>V1 long tutorial: FDE/FDE_System_Design_Interview_20_Scenarios/Version_1/chapter-15-observability-customer-facing-ai-application-tutorial.md | V2 cram: FDE/FDE_System_Design_Interview_20_Scenarios/Version_2/chapter-15-observability-customer-facing-ai-application-tutorial_v2.md | Site: site/content/modules/01-customer-discovery-and-decomposition/system-design/worksheets/observability-customer-facing-ai-application.md</t>
        </is>
      </c>
      <c r="K25" s="6" t="inlineStr">
        <is>
          <t>worksheet md + answer key md + V1/V2 tutorials + site page</t>
        </is>
      </c>
      <c r="L25" s="6" t="inlineStr">
        <is>
          <t>Yes</t>
        </is>
      </c>
      <c r="M25" s="6" t="inlineStr">
        <is>
          <t>Source: The Forward Deployed Engineer System Design Interview (Kindle). Ch 21 V1 also has an uncondensed tutorial.</t>
        </is>
      </c>
      <c r="N25" s="6" t="inlineStr">
        <is>
          <t>G14_Observability_And_Production_Diagnosis/</t>
        </is>
      </c>
      <c r="O25" s="12" t="inlineStr">
        <is>
          <t>https://forward-deployed-sigma.vercel.app/modules/15-fde-case-studies/delivery-evaluation-operations/observability-and-production-diagnosis</t>
        </is>
      </c>
    </row>
    <row r="26">
      <c r="A26" s="6" t="n">
        <v>25</v>
      </c>
      <c r="B26" s="6" t="inlineStr">
        <is>
          <t>Worksheet + answer key</t>
        </is>
      </c>
      <c r="C26" s="6" t="inlineStr">
        <is>
          <t>— standalone</t>
        </is>
      </c>
      <c r="D26" s="6" t="inlineStr">
        <is>
          <t>Prepare on its own</t>
        </is>
      </c>
      <c r="E26" s="6" t="inlineStr">
        <is>
          <t>Configurable platform for customer-specific workflows — config over forks. Related to G15 but a different problem.</t>
        </is>
      </c>
      <c r="F26" s="6" t="inlineStr">
        <is>
          <t>Configurable Platform for Customer-Specific Workflows (book ch 17)</t>
        </is>
      </c>
      <c r="G26" s="6" t="inlineStr">
        <is>
          <t>FDE System Design Interview — 20 Scenarios (Version 3)</t>
        </is>
      </c>
      <c r="H26" s="6" t="inlineStr">
        <is>
          <t>FDE/FDE_System_Design_Interview_20_Scenarios/Version_3/17_configurable_platform_customer_specific_workflows.md</t>
        </is>
      </c>
      <c r="I26" s="6" t="inlineStr">
        <is>
          <t>FDE/FDE_System_Design_Interview_20_Scenarios/Version_3/answer_keys/17_configurable_platform_customer_specific_workflows_answer_key.md</t>
        </is>
      </c>
      <c r="J26" s="6" t="inlineStr">
        <is>
          <t>V1 long tutorial: FDE/FDE_System_Design_Interview_20_Scenarios/Version_1/chapter-17-configurable-platform-customer-specific-workflows-tutorial.md | V2 cram: FDE/FDE_System_Design_Interview_20_Scenarios/Version_2/chapter-17-configurable-platform-customer-specific-workflows-tutorial_v2.md | Site: site/content/modules/01-customer-discovery-and-decomposition/system-design/worksheets/configurable-platform-customer-specific-workflows.md</t>
        </is>
      </c>
      <c r="K26" s="6" t="inlineStr">
        <is>
          <t>worksheet md + answer key md + V1/V2 tutorials + site page</t>
        </is>
      </c>
      <c r="L26" s="6" t="inlineStr">
        <is>
          <t>Yes</t>
        </is>
      </c>
      <c r="M26" s="6" t="inlineStr">
        <is>
          <t>Source: The Forward Deployed Engineer System Design Interview (Kindle). Ch 21 V1 also has an uncondensed tutorial.</t>
        </is>
      </c>
      <c r="N26" s="6" t="inlineStr">
        <is>
          <t>Standalone/25_Configurable_Platform_Customer_Workflows/  [copied source files (folder)]</t>
        </is>
      </c>
      <c r="O26" s="12" t="inlineStr">
        <is>
          <t>https://forward-deployed-sigma.vercel.app/modules/15-fde-case-studies/standalone-designs/configurable-platform-customer-workflows</t>
        </is>
      </c>
    </row>
    <row r="27">
      <c r="A27" s="6" t="n">
        <v>26</v>
      </c>
      <c r="B27" s="6" t="inlineStr">
        <is>
          <t>Worksheet + answer key</t>
        </is>
      </c>
      <c r="C27" s="6" t="inlineStr">
        <is>
          <t>— standalone</t>
        </is>
      </c>
      <c r="D27" s="6" t="inlineStr">
        <is>
          <t>Prepare on its own</t>
        </is>
      </c>
      <c r="E27" s="6" t="inlineStr">
        <is>
          <t>Enterprise chatbot platform for 40k employees — build vs license, hosting by data class, shadow AI. No sibling.</t>
        </is>
      </c>
      <c r="F27" s="6" t="inlineStr">
        <is>
          <t>Enterprise Chatbot Platform (book ch 21)</t>
        </is>
      </c>
      <c r="G27" s="6" t="inlineStr">
        <is>
          <t>FDE System Design Interview — 20 Scenarios (Version 3)</t>
        </is>
      </c>
      <c r="H27" s="6" t="inlineStr">
        <is>
          <t>FDE/FDE_System_Design_Interview_20_Scenarios/Version_3/21_enterprise_chatbot_platform.md</t>
        </is>
      </c>
      <c r="I27" s="6" t="inlineStr">
        <is>
          <t>FDE/FDE_System_Design_Interview_20_Scenarios/Version_3/answer_keys/21_enterprise_chatbot_platform_answer_key.md</t>
        </is>
      </c>
      <c r="J27" s="6" t="inlineStr">
        <is>
          <t>V1 long tutorial: FDE/FDE_System_Design_Interview_20_Scenarios/Version_1/chapter-21-enterprise-chatbot-platform-tutorial-condensed.md | V2 cram: FDE/FDE_System_Design_Interview_20_Scenarios/Version_2/chapter-21-enterprise-chatbot-platform-tutorial-condensed_v2.md | Site: site/content/modules/01-customer-discovery-and-decomposition/system-design/worksheets/enterprise-chatbot-platform.md</t>
        </is>
      </c>
      <c r="K27" s="6" t="inlineStr">
        <is>
          <t>worksheet md + answer key md + V1/V2 tutorials + site page</t>
        </is>
      </c>
      <c r="L27" s="6" t="inlineStr">
        <is>
          <t>Yes</t>
        </is>
      </c>
      <c r="M27" s="6" t="inlineStr">
        <is>
          <t>Source: The Forward Deployed Engineer System Design Interview (Kindle). Ch 21 V1 also has an uncondensed tutorial.</t>
        </is>
      </c>
      <c r="N27" s="6" t="inlineStr">
        <is>
          <t>Standalone/26_Enterprise_Chatbot_Platform/  [copied source files (folder)]</t>
        </is>
      </c>
      <c r="O27" s="12" t="inlineStr">
        <is>
          <t>https://forward-deployed-sigma.vercel.app/modules/15-fde-case-studies/standalone-designs/enterprise-chatbot-platform</t>
        </is>
      </c>
    </row>
    <row r="28">
      <c r="A28" s="6" t="n">
        <v>27</v>
      </c>
      <c r="B28" s="6" t="inlineStr">
        <is>
          <t>Worksheet + answer key</t>
        </is>
      </c>
      <c r="C28" s="6" t="inlineStr">
        <is>
          <t>G01 Enterprise knowledge assistant (permission-aware RAG)</t>
        </is>
      </c>
      <c r="D28" s="6" t="inlineStr">
        <is>
          <t>Covered by anchor — read delta only</t>
        </is>
      </c>
      <c r="E28" s="6" t="inlineStr">
        <is>
          <t>Purchased worksheet, templated answer key. Delta: support-agent persona and ticket-note drafting. Nothing new architecturally.</t>
        </is>
      </c>
      <c r="F28" s="6" t="inlineStr">
        <is>
          <t>Internal Knowledge Assistant for Enterprise Support</t>
        </is>
      </c>
      <c r="G28" s="6" t="inlineStr">
        <is>
          <t>Complete GEN AI FDE Interview System — Module 01 worksheets</t>
        </is>
      </c>
      <c r="H28" s="6" t="inlineStr">
        <is>
          <t>FDE/Complete GEN AI FDE Interview System — Core + GenAI/01_CUSTOMER_DISCOVERY_AND_DECOMPOSITION/04_CASE_STUDY_WORKSHEET/01_internal_knowledge_assistant.md</t>
        </is>
      </c>
      <c r="I28" s="6" t="inlineStr">
        <is>
          <t>FDE/Complete GEN AI FDE Interview System — Core + GenAI/01_CUSTOMER_DISCOVERY_AND_DECOMPOSITION/04_CASE_STUDY_WORKSHEET/answer_keys/answer-keys-in-md/01_internal_knowledge_assistant_answer_key.md</t>
        </is>
      </c>
      <c r="J28" s="6" t="inlineStr">
        <is>
          <t>Site: site/content/modules/01-customer-discovery-and-decomposition/core/worksheets/internal-knowledge-assistant.md | Mock: FDE/Complete GEN AI FDE Interview System — Core + GenAI/07_MOCK_INTERVIEWS_AND_SCORECARDS/02_SHORT_PRACTICE_MOCK/01_internal_knowledge_assistant_mock.md and 03_FULL_MOCK_INTERVIEWS/01_internal_knowledge_assistant_full_mock.md</t>
        </is>
      </c>
      <c r="K28" s="6" t="inlineStr">
        <is>
          <t>worksheet md + answer key md/docx + site page + mock md</t>
        </is>
      </c>
      <c r="L28" s="6" t="inlineStr">
        <is>
          <t>Yes</t>
        </is>
      </c>
      <c r="M28" s="6" t="inlineStr">
        <is>
          <t>Answer keys also as docx (untracked) and in the canonical combined docx. Has a short + full mock interview (01_internal_knowledge_assistant).</t>
        </is>
      </c>
      <c r="N28" s="6" t="inlineStr">
        <is>
          <t>G01_Enterprise_Knowledge_Assistant/</t>
        </is>
      </c>
      <c r="O28" s="12" t="inlineStr">
        <is>
          <t>https://forward-deployed-sigma.vercel.app/modules/15-fde-case-studies/knowledge-retrieval/enterprise-knowledge-assistant</t>
        </is>
      </c>
    </row>
    <row r="29">
      <c r="A29" s="8" t="n">
        <v>28</v>
      </c>
      <c r="B29" s="8" t="inlineStr">
        <is>
          <t>Worksheet + answer key</t>
        </is>
      </c>
      <c r="C29" s="8" t="inlineStr">
        <is>
          <t>G05 Sales copilot / account research</t>
        </is>
      </c>
      <c r="D29" s="9" t="inlineStr">
        <is>
          <t>ANCHOR — prepare this</t>
        </is>
      </c>
      <c r="E29" s="8" t="inlineStr">
        <is>
          <t>Anchor: only worksheet + answer key in this shape (templated, so add your own CRM-permission detail).</t>
        </is>
      </c>
      <c r="F29" s="8" t="inlineStr">
        <is>
          <t>Sales Copilot for Account Executives</t>
        </is>
      </c>
      <c r="G29" s="6" t="inlineStr">
        <is>
          <t>Complete GEN AI FDE Interview System — Module 01 worksheets</t>
        </is>
      </c>
      <c r="H29" s="6" t="inlineStr">
        <is>
          <t>FDE/Complete GEN AI FDE Interview System — Core + GenAI/01_CUSTOMER_DISCOVERY_AND_DECOMPOSITION/04_CASE_STUDY_WORKSHEET/02_sales_copilot.md</t>
        </is>
      </c>
      <c r="I29" s="6" t="inlineStr">
        <is>
          <t>FDE/Complete GEN AI FDE Interview System — Core + GenAI/01_CUSTOMER_DISCOVERY_AND_DECOMPOSITION/04_CASE_STUDY_WORKSHEET/answer_keys/answer-keys-in-md/02_sales_copilot_answer_key.md</t>
        </is>
      </c>
      <c r="J29" s="6" t="inlineStr">
        <is>
          <t>Site: site/content/modules/01-customer-discovery-and-decomposition/core/worksheets/sales-copilot.md</t>
        </is>
      </c>
      <c r="K29" s="6" t="inlineStr">
        <is>
          <t>worksheet md + answer key md/docx + site page</t>
        </is>
      </c>
      <c r="L29" s="6" t="inlineStr">
        <is>
          <t>Yes</t>
        </is>
      </c>
      <c r="M29" s="6" t="inlineStr">
        <is>
          <t>Answer keys also as docx (untracked) and in the canonical combined docx.</t>
        </is>
      </c>
      <c r="N29" s="6" t="inlineStr">
        <is>
          <t>G05_Sales_Copilot/</t>
        </is>
      </c>
      <c r="O29" s="12" t="inlineStr">
        <is>
          <t>https://forward-deployed-sigma.vercel.app/modules/15-fde-case-studies/agents-that-act/sales-copilot</t>
        </is>
      </c>
    </row>
    <row r="30">
      <c r="A30" s="6" t="n">
        <v>29</v>
      </c>
      <c r="B30" s="6" t="inlineStr">
        <is>
          <t>Worksheet + answer key</t>
        </is>
      </c>
      <c r="C30" s="6" t="inlineStr">
        <is>
          <t>G08 Document review / extraction copilot with policy check</t>
        </is>
      </c>
      <c r="D30" s="6" t="inlineStr">
        <is>
          <t>Covered by anchor — read delta only</t>
        </is>
      </c>
      <c r="E30" s="6" t="inlineStr">
        <is>
          <t>Financial-compliance flavour. Delta: rule citation + risk classification; the red-team mock (#3 in module 07) is its adversarial run.</t>
        </is>
      </c>
      <c r="F30" s="6" t="inlineStr">
        <is>
          <t>Financial Compliance Document Reviewer</t>
        </is>
      </c>
      <c r="G30" s="6" t="inlineStr">
        <is>
          <t>Complete GEN AI FDE Interview System — Module 01 worksheets</t>
        </is>
      </c>
      <c r="H30" s="6" t="inlineStr">
        <is>
          <t>FDE/Complete GEN AI FDE Interview System — Core + GenAI/01_CUSTOMER_DISCOVERY_AND_DECOMPOSITION/04_CASE_STUDY_WORKSHEET/03_financial_compliance_reviewer.md</t>
        </is>
      </c>
      <c r="I30" s="6" t="inlineStr">
        <is>
          <t>FDE/Complete GEN AI FDE Interview System — Core + GenAI/01_CUSTOMER_DISCOVERY_AND_DECOMPOSITION/04_CASE_STUDY_WORKSHEET/answer_keys/answer-keys-in-md/03_financial_compliance_reviewer_answer_key.md</t>
        </is>
      </c>
      <c r="J30" s="6" t="inlineStr">
        <is>
          <t>Site: site/content/modules/01-customer-discovery-and-decomposition/core/worksheets/financial-compliance-reviewer.md | Mock: FDE/Complete GEN AI FDE Interview System — Core + GenAI/07_MOCK_INTERVIEWS_AND_SCORECARDS/02_SHORT_PRACTICE_MOCK/03_financial_red_team_mock.md and 03_FULL_MOCK_INTERVIEWS/03_financial_red_team_full_mock.md</t>
        </is>
      </c>
      <c r="K30" s="6" t="inlineStr">
        <is>
          <t>worksheet md + answer key md/docx + site page + mock md</t>
        </is>
      </c>
      <c r="L30" s="6" t="inlineStr">
        <is>
          <t>Yes</t>
        </is>
      </c>
      <c r="M30" s="6" t="inlineStr">
        <is>
          <t>Answer keys also as docx (untracked) and in the canonical combined docx. Has a short + full mock interview (03_financial_red_team (red-team variant)).</t>
        </is>
      </c>
      <c r="N30" s="6" t="inlineStr">
        <is>
          <t>G08_Document_Review_Copilot/</t>
        </is>
      </c>
      <c r="O30" s="12" t="inlineStr">
        <is>
          <t>https://forward-deployed-sigma.vercel.app/modules/15-fde-case-studies/knowledge-retrieval/document-review-copilot</t>
        </is>
      </c>
    </row>
    <row r="31">
      <c r="A31" s="8" t="n">
        <v>30</v>
      </c>
      <c r="B31" s="8" t="inlineStr">
        <is>
          <t>Worksheet + answer key</t>
        </is>
      </c>
      <c r="C31" s="8" t="inlineStr">
        <is>
          <t>G08 Document review / extraction copilot with policy check</t>
        </is>
      </c>
      <c r="D31" s="9" t="inlineStr">
        <is>
          <t>ANCHOR — prepare this</t>
        </is>
      </c>
      <c r="E31" s="8" t="inlineStr">
        <is>
          <t>Anchor: worksheet + answer key + the standalone vendor PDF case; regulated (PHI) domain makes it the superset. Cost/latency self-drill on the Drill Add-ons tab.</t>
        </is>
      </c>
      <c r="F31" s="8" t="inlineStr">
        <is>
          <t>Healthcare Prior Authorization Assistant</t>
        </is>
      </c>
      <c r="G31" s="6" t="inlineStr">
        <is>
          <t>Complete GEN AI FDE Interview System — Module 01 worksheets</t>
        </is>
      </c>
      <c r="H31" s="6" t="inlineStr">
        <is>
          <t>FDE/Complete GEN AI FDE Interview System — Core + GenAI/01_CUSTOMER_DISCOVERY_AND_DECOMPOSITION/04_CASE_STUDY_WORKSHEET/04_healthcare_prior_auth_assistant.md</t>
        </is>
      </c>
      <c r="I31" s="6" t="inlineStr">
        <is>
          <t>FDE/Complete GEN AI FDE Interview System — Core + GenAI/01_CUSTOMER_DISCOVERY_AND_DECOMPOSITION/04_CASE_STUDY_WORKSHEET/answer_keys/answer-keys-in-md/04_healthcare_prior_auth_assistant_answer_key.md</t>
        </is>
      </c>
      <c r="J31" s="6" t="inlineStr">
        <is>
          <t>Site: site/content/modules/01-customer-discovery-and-decomposition/core/worksheets/healthcare-prior-auth-assistant.md</t>
        </is>
      </c>
      <c r="K31" s="6" t="inlineStr">
        <is>
          <t>worksheet md + answer key md/docx + site page</t>
        </is>
      </c>
      <c r="L31" s="6" t="inlineStr">
        <is>
          <t>Yes</t>
        </is>
      </c>
      <c r="M31" s="6" t="inlineStr">
        <is>
          <t>Answer keys also as docx (untracked) and in the canonical combined docx.</t>
        </is>
      </c>
      <c r="N31" s="6" t="inlineStr">
        <is>
          <t>G08_Document_Review_Copilot/</t>
        </is>
      </c>
      <c r="O31" s="12" t="inlineStr">
        <is>
          <t>https://forward-deployed-sigma.vercel.app/modules/15-fde-case-studies/knowledge-retrieval/document-review-copilot</t>
        </is>
      </c>
    </row>
    <row r="32">
      <c r="A32" s="6" t="n">
        <v>31</v>
      </c>
      <c r="B32" s="6" t="inlineStr">
        <is>
          <t>Worksheet + answer key</t>
        </is>
      </c>
      <c r="C32" s="6" t="inlineStr">
        <is>
          <t>G08 Document review / extraction copilot with policy check</t>
        </is>
      </c>
      <c r="D32" s="6" t="inlineStr">
        <is>
          <t>Covered by anchor — read delta only</t>
        </is>
      </c>
      <c r="E32" s="6" t="inlineStr">
        <is>
          <t>Legal-contract flavour. Delta: clause extraction vs playbook, fallback language. Same spine.</t>
        </is>
      </c>
      <c r="F32" s="6" t="inlineStr">
        <is>
          <t>Legal Contract Review Copilot</t>
        </is>
      </c>
      <c r="G32" s="6" t="inlineStr">
        <is>
          <t>Complete GEN AI FDE Interview System — Module 01 worksheets</t>
        </is>
      </c>
      <c r="H32" s="6" t="inlineStr">
        <is>
          <t>FDE/Complete GEN AI FDE Interview System — Core + GenAI/01_CUSTOMER_DISCOVERY_AND_DECOMPOSITION/04_CASE_STUDY_WORKSHEET/05_legal_contract_copilot.md</t>
        </is>
      </c>
      <c r="I32" s="6" t="inlineStr">
        <is>
          <t>FDE/Complete GEN AI FDE Interview System — Core + GenAI/01_CUSTOMER_DISCOVERY_AND_DECOMPOSITION/04_CASE_STUDY_WORKSHEET/answer_keys/answer-keys-in-md/05_legal_contract_copilot_answer_key.md</t>
        </is>
      </c>
      <c r="J32" s="6" t="inlineStr">
        <is>
          <t>Site: site/content/modules/01-customer-discovery-and-decomposition/core/worksheets/legal-contract-copilot.md</t>
        </is>
      </c>
      <c r="K32" s="6" t="inlineStr">
        <is>
          <t>worksheet md + answer key md/docx + site page</t>
        </is>
      </c>
      <c r="L32" s="6" t="inlineStr">
        <is>
          <t>Yes</t>
        </is>
      </c>
      <c r="M32" s="6" t="inlineStr">
        <is>
          <t>Answer keys also as docx (untracked) and in the canonical combined docx.</t>
        </is>
      </c>
      <c r="N32" s="6" t="inlineStr">
        <is>
          <t>G08_Document_Review_Copilot/</t>
        </is>
      </c>
      <c r="O32" s="12" t="inlineStr">
        <is>
          <t>https://forward-deployed-sigma.vercel.app/modules/15-fde-case-studies/knowledge-retrieval/document-review-copilot</t>
        </is>
      </c>
    </row>
    <row r="33">
      <c r="A33" s="6" t="n">
        <v>32</v>
      </c>
      <c r="B33" s="6" t="inlineStr">
        <is>
          <t>Worksheet + answer key</t>
        </is>
      </c>
      <c r="C33" s="6" t="inlineStr">
        <is>
          <t>G04 SRE / incident-response agent</t>
        </is>
      </c>
      <c r="D33" s="6" t="inlineStr">
        <is>
          <t>Covered by anchor — read delta only</t>
        </is>
      </c>
      <c r="E33" s="6" t="inlineStr">
        <is>
          <t>Purchased worksheet + short/full mock. Delta: none architecturally; use the mock for a timed run.</t>
        </is>
      </c>
      <c r="F33" s="6" t="inlineStr">
        <is>
          <t>SRE Incident Triage Agent</t>
        </is>
      </c>
      <c r="G33" s="6" t="inlineStr">
        <is>
          <t>Complete GEN AI FDE Interview System — Module 01 worksheets</t>
        </is>
      </c>
      <c r="H33" s="6" t="inlineStr">
        <is>
          <t>FDE/Complete GEN AI FDE Interview System — Core + GenAI/01_CUSTOMER_DISCOVERY_AND_DECOMPOSITION/04_CASE_STUDY_WORKSHEET/06_sre_triage_agent.md</t>
        </is>
      </c>
      <c r="I33" s="6" t="inlineStr">
        <is>
          <t>FDE/Complete GEN AI FDE Interview System — Core + GenAI/01_CUSTOMER_DISCOVERY_AND_DECOMPOSITION/04_CASE_STUDY_WORKSHEET/answer_keys/answer-keys-in-md/06_sre_triage_agent_answer_key.md</t>
        </is>
      </c>
      <c r="J33" s="6" t="inlineStr">
        <is>
          <t>Site: site/content/modules/01-customer-discovery-and-decomposition/core/worksheets/sre-triage-agent.md | Mock: FDE/Complete GEN AI FDE Interview System — Core + GenAI/07_MOCK_INTERVIEWS_AND_SCORECARDS/02_SHORT_PRACTICE_MOCK/04_sre_triage_mock.md and 03_FULL_MOCK_INTERVIEWS/04_sre_triage_full_mock.md</t>
        </is>
      </c>
      <c r="K33" s="6" t="inlineStr">
        <is>
          <t>worksheet md + answer key md/docx + site page + mock md</t>
        </is>
      </c>
      <c r="L33" s="6" t="inlineStr">
        <is>
          <t>Yes</t>
        </is>
      </c>
      <c r="M33" s="6" t="inlineStr">
        <is>
          <t>Answer keys also as docx (untracked) and in the canonical combined docx. Has a short + full mock interview (04_sre_triage).</t>
        </is>
      </c>
      <c r="N33" s="6" t="inlineStr">
        <is>
          <t>G04_SRE_Incident_Response_Agent/</t>
        </is>
      </c>
      <c r="O33" s="12" t="inlineStr">
        <is>
          <t>https://forward-deployed-sigma.vercel.app/modules/15-fde-case-studies/agents-that-act/sre-incident-response-agent</t>
        </is>
      </c>
    </row>
    <row r="34">
      <c r="A34" s="6" t="n">
        <v>33</v>
      </c>
      <c r="B34" s="6" t="inlineStr">
        <is>
          <t>Worksheet + answer key</t>
        </is>
      </c>
      <c r="C34" s="6" t="inlineStr">
        <is>
          <t>G02 Customer-support automation</t>
        </is>
      </c>
      <c r="D34" s="6" t="inlineStr">
        <is>
          <t>Covered by anchor — read delta only</t>
        </is>
      </c>
      <c r="E34" s="6" t="inlineStr">
        <is>
          <t>Support assistant with tenant isolation as the risk. Delta: tenant predicate on every retrieval — borrow from G07 anchor.</t>
        </is>
      </c>
      <c r="F34" s="6" t="inlineStr">
        <is>
          <t>Multi-Tenant SaaS Support Assistant</t>
        </is>
      </c>
      <c r="G34" s="6" t="inlineStr">
        <is>
          <t>Complete GEN AI FDE Interview System — Module 01 worksheets</t>
        </is>
      </c>
      <c r="H34" s="6" t="inlineStr">
        <is>
          <t>FDE/Complete GEN AI FDE Interview System — Core + GenAI/01_CUSTOMER_DISCOVERY_AND_DECOMPOSITION/04_CASE_STUDY_WORKSHEET/07_multi_tenant_saas_support.md</t>
        </is>
      </c>
      <c r="I34" s="6" t="inlineStr">
        <is>
          <t>FDE/Complete GEN AI FDE Interview System — Core + GenAI/01_CUSTOMER_DISCOVERY_AND_DECOMPOSITION/04_CASE_STUDY_WORKSHEET/answer_keys/answer-keys-in-md/07_multi_tenant_saas_support_answer_key.md</t>
        </is>
      </c>
      <c r="J34" s="6" t="inlineStr">
        <is>
          <t>Site: site/content/modules/01-customer-discovery-and-decomposition/core/worksheets/multi-tenant-saas-support.md | Mock: FDE/Complete GEN AI FDE Interview System — Core + GenAI/07_MOCK_INTERVIEWS_AND_SCORECARDS/02_SHORT_PRACTICE_MOCK/05_multi_tenant_saas_mock.md and 03_FULL_MOCK_INTERVIEWS/05_multi_tenant_saas_full_mock.md</t>
        </is>
      </c>
      <c r="K34" s="6" t="inlineStr">
        <is>
          <t>worksheet md + answer key md/docx + site page + mock md</t>
        </is>
      </c>
      <c r="L34" s="6" t="inlineStr">
        <is>
          <t>Yes</t>
        </is>
      </c>
      <c r="M34" s="6" t="inlineStr">
        <is>
          <t>Answer keys also as docx (untracked) and in the canonical combined docx. Has a short + full mock interview (05_multi_tenant_saas).</t>
        </is>
      </c>
      <c r="N34" s="6" t="inlineStr">
        <is>
          <t>G02_Customer_Support_Automation/</t>
        </is>
      </c>
      <c r="O34" s="12" t="inlineStr">
        <is>
          <t>https://forward-deployed-sigma.vercel.app/modules/15-fde-case-studies/agents-that-act/customer-support-automation</t>
        </is>
      </c>
    </row>
    <row r="35">
      <c r="A35" s="6" t="n">
        <v>34</v>
      </c>
      <c r="B35" s="6" t="inlineStr">
        <is>
          <t>Worksheet + answer key</t>
        </is>
      </c>
      <c r="C35" s="6" t="inlineStr">
        <is>
          <t>G06 Natural language over governed data (NL-to-SQL, KPI copilot)</t>
        </is>
      </c>
      <c r="D35" s="6" t="inlineStr">
        <is>
          <t>Covered by anchor — read delta only</t>
        </is>
      </c>
      <c r="E35" s="6" t="inlineStr">
        <is>
          <t>Retail planner persona: explain forecast variance from sales/promo/weather data. Delta: driver attribution, human-reviewed actions.</t>
        </is>
      </c>
      <c r="F35" s="6" t="inlineStr">
        <is>
          <t>Retail Demand Forecast Explanation Assistant</t>
        </is>
      </c>
      <c r="G35" s="6" t="inlineStr">
        <is>
          <t>Complete GEN AI FDE Interview System — Module 01 worksheets</t>
        </is>
      </c>
      <c r="H35" s="6" t="inlineStr">
        <is>
          <t>FDE/Complete GEN AI FDE Interview System — Core + GenAI/01_CUSTOMER_DISCOVERY_AND_DECOMPOSITION/04_CASE_STUDY_WORKSHEET/08_retail_demand_explainer.md</t>
        </is>
      </c>
      <c r="I35" s="6" t="inlineStr">
        <is>
          <t>FDE/Complete GEN AI FDE Interview System — Core + GenAI/01_CUSTOMER_DISCOVERY_AND_DECOMPOSITION/04_CASE_STUDY_WORKSHEET/answer_keys/answer-keys-in-md/08_retail_demand_explainer_answer_key.md</t>
        </is>
      </c>
      <c r="J35" s="6" t="inlineStr">
        <is>
          <t>Site: site/content/modules/01-customer-discovery-and-decomposition/core/worksheets/retail-demand-explainer.md</t>
        </is>
      </c>
      <c r="K35" s="6" t="inlineStr">
        <is>
          <t>worksheet md + answer key md/docx + site page</t>
        </is>
      </c>
      <c r="L35" s="6" t="inlineStr">
        <is>
          <t>Yes</t>
        </is>
      </c>
      <c r="M35" s="6" t="inlineStr">
        <is>
          <t>Answer keys also as docx (untracked) and in the canonical combined docx.</t>
        </is>
      </c>
      <c r="N35" s="6" t="inlineStr">
        <is>
          <t>G06_NL_Over_Governed_Data/</t>
        </is>
      </c>
      <c r="O35" s="12" t="inlineStr">
        <is>
          <t>https://forward-deployed-sigma.vercel.app/modules/15-fde-case-studies/knowledge-retrieval/nl-over-governed-data</t>
        </is>
      </c>
    </row>
    <row r="36">
      <c r="A36" s="6" t="n">
        <v>35</v>
      </c>
      <c r="B36" s="6" t="inlineStr">
        <is>
          <t>Worksheet + answer key</t>
        </is>
      </c>
      <c r="C36" s="6" t="inlineStr">
        <is>
          <t>G02 Customer-support automation</t>
        </is>
      </c>
      <c r="D36" s="6" t="inlineStr">
        <is>
          <t>Covered by anchor — read delta only</t>
        </is>
      </c>
      <c r="E36" s="6" t="inlineStr">
        <is>
          <t>ITSM flavour (ServiceNow). Delta: classify/priority + assignment + KB. Same spine; mention ITIL change control.</t>
        </is>
      </c>
      <c r="F36" s="6" t="inlineStr">
        <is>
          <t>ServiceNow Ticket Automation Agent</t>
        </is>
      </c>
      <c r="G36" s="6" t="inlineStr">
        <is>
          <t>Complete GEN AI FDE Interview System — Module 01 worksheets</t>
        </is>
      </c>
      <c r="H36" s="6" t="inlineStr">
        <is>
          <t>FDE/Complete GEN AI FDE Interview System — Core + GenAI/01_CUSTOMER_DISCOVERY_AND_DECOMPOSITION/04_CASE_STUDY_WORKSHEET/09_service_now_ticket_agent.md</t>
        </is>
      </c>
      <c r="I36" s="6" t="inlineStr">
        <is>
          <t>FDE/Complete GEN AI FDE Interview System — Core + GenAI/01_CUSTOMER_DISCOVERY_AND_DECOMPOSITION/04_CASE_STUDY_WORKSHEET/answer_keys/answer-keys-in-md/09_service_now_ticket_agent_answer_key.md</t>
        </is>
      </c>
      <c r="J36" s="6" t="inlineStr">
        <is>
          <t>Site: site/content/modules/01-customer-discovery-and-decomposition/core/worksheets/service-now-ticket-agent.md</t>
        </is>
      </c>
      <c r="K36" s="6" t="inlineStr">
        <is>
          <t>worksheet md + answer key md/docx + site page</t>
        </is>
      </c>
      <c r="L36" s="6" t="inlineStr">
        <is>
          <t>Yes</t>
        </is>
      </c>
      <c r="M36" s="6" t="inlineStr">
        <is>
          <t>Answer keys also as docx (untracked) and in the canonical combined docx.</t>
        </is>
      </c>
      <c r="N36" s="6" t="inlineStr">
        <is>
          <t>G02_Customer_Support_Automation/</t>
        </is>
      </c>
      <c r="O36" s="12" t="inlineStr">
        <is>
          <t>https://forward-deployed-sigma.vercel.app/modules/15-fde-case-studies/agents-that-act/customer-support-automation</t>
        </is>
      </c>
    </row>
    <row r="37">
      <c r="A37" s="6" t="n">
        <v>36</v>
      </c>
      <c r="B37" s="6" t="inlineStr">
        <is>
          <t>Worksheet + answer key</t>
        </is>
      </c>
      <c r="C37" s="6" t="inlineStr">
        <is>
          <t>G06 Natural language over governed data (NL-to-SQL, KPI copilot)</t>
        </is>
      </c>
      <c r="D37" s="6" t="inlineStr">
        <is>
          <t>Covered by anchor — read delta only</t>
        </is>
      </c>
      <c r="E37" s="6" t="inlineStr">
        <is>
          <t>Executive persona of the same system. Delta: variance explanation + escalate to analysts. 5 minutes.</t>
        </is>
      </c>
      <c r="F37" s="6" t="inlineStr">
        <is>
          <t>Executive Dashboard Copilot</t>
        </is>
      </c>
      <c r="G37" s="6" t="inlineStr">
        <is>
          <t>Complete GEN AI FDE Interview System — Module 01 worksheets</t>
        </is>
      </c>
      <c r="H37" s="6" t="inlineStr">
        <is>
          <t>FDE/Complete GEN AI FDE Interview System — Core + GenAI/01_CUSTOMER_DISCOVERY_AND_DECOMPOSITION/04_CASE_STUDY_WORKSHEET/10_executive_dashboard_copilot.md</t>
        </is>
      </c>
      <c r="I37" s="6" t="inlineStr">
        <is>
          <t>FDE/Complete GEN AI FDE Interview System — Core + GenAI/01_CUSTOMER_DISCOVERY_AND_DECOMPOSITION/04_CASE_STUDY_WORKSHEET/answer_keys/answer-keys-in-md/10_executive_dashboard_copilot_answer_key.md</t>
        </is>
      </c>
      <c r="J37" s="6" t="inlineStr">
        <is>
          <t>Site: site/content/modules/01-customer-discovery-and-decomposition/core/worksheets/executive-dashboard-copilot.md</t>
        </is>
      </c>
      <c r="K37" s="6" t="inlineStr">
        <is>
          <t>worksheet md + answer key md/docx + site page</t>
        </is>
      </c>
      <c r="L37" s="6" t="inlineStr">
        <is>
          <t>Yes</t>
        </is>
      </c>
      <c r="M37" s="6" t="inlineStr">
        <is>
          <t>Answer keys also as docx (untracked) and in the canonical combined docx.</t>
        </is>
      </c>
      <c r="N37" s="6" t="inlineStr">
        <is>
          <t>G06_NL_Over_Governed_Data/</t>
        </is>
      </c>
      <c r="O37" s="12" t="inlineStr">
        <is>
          <t>https://forward-deployed-sigma.vercel.app/modules/15-fde-case-studies/knowledge-retrieval/nl-over-governed-data</t>
        </is>
      </c>
    </row>
    <row r="38">
      <c r="A38" s="6" t="n">
        <v>37</v>
      </c>
      <c r="B38" s="6" t="inlineStr">
        <is>
          <t>Mock interview</t>
        </is>
      </c>
      <c r="C38" s="6" t="inlineStr">
        <is>
          <t>G02 Customer-support automation</t>
        </is>
      </c>
      <c r="D38" s="6" t="inlineStr">
        <is>
          <t>Covered by anchor — read delta only</t>
        </is>
      </c>
      <c r="E38" s="6" t="inlineStr">
        <is>
          <t>Mock-interview transcript of the same system. Use for a timed run, not new content.</t>
        </is>
      </c>
      <c r="F38" s="6" t="inlineStr">
        <is>
          <t>Agentic Support Workflow</t>
        </is>
      </c>
      <c r="G38" s="6" t="inlineStr">
        <is>
          <t>Complete GEN AI FDE Interview System — Module 07 mocks</t>
        </is>
      </c>
      <c r="H38" s="6" t="inlineStr">
        <is>
          <t>FDE/Complete GEN AI FDE Interview System — Core + GenAI/07_MOCK_INTERVIEWS_AND_SCORECARDS/02_SHORT_PRACTICE_MOCK/02_agentic_support_workflow_mock.md</t>
        </is>
      </c>
      <c r="I38" s="6" t="inlineStr">
        <is>
          <t>FDE/Complete GEN AI FDE Interview System — Core + GenAI/07_MOCK_INTERVIEWS_AND_SCORECARDS/03_FULL_MOCK_INTERVIEWS/02_agentic_support_workflow_full_mock.md</t>
        </is>
      </c>
      <c r="J38" s="6" t="inlineStr"/>
      <c r="K38" s="6" t="inlineStr">
        <is>
          <t>short mock md + full mock md</t>
        </is>
      </c>
      <c r="L38" s="6" t="inlineStr">
        <is>
          <t>Yes</t>
        </is>
      </c>
      <c r="M38" s="6" t="inlineStr">
        <is>
          <t>Only mock not drawn from a Module 01 worksheet. The other 4 mocks are listed against their worksheet rows.</t>
        </is>
      </c>
      <c r="N38" s="6" t="inlineStr">
        <is>
          <t>G02_Customer_Support_Automation/</t>
        </is>
      </c>
      <c r="O38" s="12" t="inlineStr">
        <is>
          <t>https://forward-deployed-sigma.vercel.app/modules/15-fde-case-studies/agents-that-act/customer-support-automation</t>
        </is>
      </c>
    </row>
    <row r="39">
      <c r="A39" s="6" t="n">
        <v>38</v>
      </c>
      <c r="B39" s="6" t="inlineStr">
        <is>
          <t>Cost/latency drill case</t>
        </is>
      </c>
      <c r="C39" s="6" t="inlineStr">
        <is>
          <t>G01 Enterprise knowledge assistant (permission-aware RAG)</t>
        </is>
      </c>
      <c r="D39" s="10" t="inlineStr">
        <is>
          <t>Same system, cost/latency question — 10-min add-on</t>
        </is>
      </c>
      <c r="E39" s="6" t="inlineStr">
        <is>
          <t>Attach to #15 Enterprise Knowledge Assistant (G01). Driver: Input tokens: whole corpus stuffed into long context, plus unconditional rerank. Lever: Calibrated top-k with metadata filters; rerank only ambiguous queries; route simple clause lookups to a mid-tier model. Prove: Cost per request; Recall@k; citation correctness; retrieval vs model latency split. Line: Legal quality forces citations and escalation, budget forces top-k and routing, the 8-second target rules out heavy rerank on every query. Pilot on a limited document set with cost instrumented from day one. (Drill Add-ons tab)</t>
        </is>
      </c>
      <c r="F39" s="6" t="inlineStr">
        <is>
          <t>Enterprise legal RAG assistant under strict cost limits</t>
        </is>
      </c>
      <c r="G39" s="6" t="inlineStr">
        <is>
          <t>Study Guides — Cost &amp; Latency Optimization (§16)</t>
        </is>
      </c>
      <c r="H39" s="6" t="inlineStr">
        <is>
          <t>Study_Guides/Cost_Latency_Optimization/CRAM_SHEET_S15_S16.md</t>
        </is>
      </c>
      <c r="I39" s="6" t="inlineStr"/>
      <c r="J39" s="6" t="inlineStr">
        <is>
          <t>Study_Guides/Cost_Latency_Optimization/Cost_Latency_Drills_S15_S16.html (drill deck)</t>
        </is>
      </c>
      <c r="K39" s="6" t="inlineStr">
        <is>
          <t>md section + html drill deck</t>
        </is>
      </c>
      <c r="L39" s="6" t="inlineStr">
        <is>
          <t>Yes</t>
        </is>
      </c>
      <c r="M39" s="6" t="inlineStr">
        <is>
          <t>§16 Case 1. Format: prompt / ask / weak vs strong answer / architecture / trade-offs / metrics / recommendation.</t>
        </is>
      </c>
      <c r="N39" s="6" t="inlineStr">
        <is>
          <t>G01_Enterprise_Knowledge_Assistant/</t>
        </is>
      </c>
      <c r="O39" s="12" t="inlineStr">
        <is>
          <t>https://forward-deployed-sigma.vercel.app/modules/15-fde-case-studies/knowledge-retrieval/enterprise-knowledge-assistant</t>
        </is>
      </c>
    </row>
    <row r="40">
      <c r="A40" s="6" t="n">
        <v>39</v>
      </c>
      <c r="B40" s="6" t="inlineStr">
        <is>
          <t>Cost/latency drill case</t>
        </is>
      </c>
      <c r="C40" s="6" t="inlineStr">
        <is>
          <t>G02 Customer-support automation</t>
        </is>
      </c>
      <c r="D40" s="10" t="inlineStr">
        <is>
          <t>Same system, cost/latency question — 10-min add-on</t>
        </is>
      </c>
      <c r="E40" s="6" t="inlineStr">
        <is>
          <t>Attach to #18 AI Customer-Support Automation (G02). Driver: Model spend on repeated FAQ traffic that needs no LLM. Lever: Intent router in front; permission-aware semantic cache for safe FAQs; small model for classification; tools only for account data. Prove: Cost per resolved ticket; deflection rate; cache hit rate; P95 latency. Line: Reduce cost by workflow, not across the board. Cache the FAQ path, route by intent, protect the account-data path. (Drill Add-ons tab)</t>
        </is>
      </c>
      <c r="F40" s="6" t="inlineStr">
        <is>
          <t>Support chatbot with 10,000 daily users</t>
        </is>
      </c>
      <c r="G40" s="6" t="inlineStr">
        <is>
          <t>Study Guides — Cost &amp; Latency Optimization (§16)</t>
        </is>
      </c>
      <c r="H40" s="6" t="inlineStr">
        <is>
          <t>Study_Guides/Cost_Latency_Optimization/CRAM_SHEET_S15_S16.md</t>
        </is>
      </c>
      <c r="I40" s="6" t="inlineStr"/>
      <c r="J40" s="6" t="inlineStr">
        <is>
          <t>Study_Guides/Cost_Latency_Optimization/Cost_Latency_Drills_S15_S16.html (drill deck)</t>
        </is>
      </c>
      <c r="K40" s="6" t="inlineStr">
        <is>
          <t>md section + html drill deck</t>
        </is>
      </c>
      <c r="L40" s="6" t="inlineStr">
        <is>
          <t>Yes</t>
        </is>
      </c>
      <c r="M40" s="6" t="inlineStr">
        <is>
          <t>§16 Case 2. Format: prompt / ask / weak vs strong answer / architecture / trade-offs / metrics / recommendation.</t>
        </is>
      </c>
      <c r="N40" s="6" t="inlineStr">
        <is>
          <t>G02_Customer_Support_Automation/</t>
        </is>
      </c>
      <c r="O40" s="12" t="inlineStr">
        <is>
          <t>https://forward-deployed-sigma.vercel.app/modules/15-fde-case-studies/agents-that-act/customer-support-automation</t>
        </is>
      </c>
    </row>
    <row r="41">
      <c r="A41" s="6" t="n">
        <v>40</v>
      </c>
      <c r="B41" s="6" t="inlineStr">
        <is>
          <t>Cost/latency drill case</t>
        </is>
      </c>
      <c r="C41" s="6" t="inlineStr">
        <is>
          <t>G05 Sales copilot / account research</t>
        </is>
      </c>
      <c r="D41" s="10" t="inlineStr">
        <is>
          <t>Same system, cost/latency question — 10-min add-on</t>
        </is>
      </c>
      <c r="E41" s="6" t="inlineStr">
        <is>
          <t>Attach to #28 Sales Copilot (G05). Driver: Agent steps and serial tool calls. Lever: Trace first; cap steps; parallelise read-only calls; precompute account snapshots; deterministic route for common requests. Prove: Agent step count; tool latency; cache hit rate; timeout rate. Line: Replace the open-ended agent loop with a bounded execution graph. Common CRM operations are deterministic and cache-backed; the agent handles only the ambiguous next step. (Drill Add-ons tab)</t>
        </is>
      </c>
      <c r="F41" s="6" t="inlineStr">
        <is>
          <t>Reduce latency for an agentic CRM assistant</t>
        </is>
      </c>
      <c r="G41" s="6" t="inlineStr">
        <is>
          <t>Study Guides — Cost &amp; Latency Optimization (§16)</t>
        </is>
      </c>
      <c r="H41" s="6" t="inlineStr">
        <is>
          <t>Study_Guides/Cost_Latency_Optimization/CRAM_SHEET_S15_S16.md</t>
        </is>
      </c>
      <c r="I41" s="6" t="inlineStr"/>
      <c r="J41" s="6" t="inlineStr">
        <is>
          <t>Study_Guides/Cost_Latency_Optimization/Cost_Latency_Drills_S15_S16.html (drill deck)</t>
        </is>
      </c>
      <c r="K41" s="6" t="inlineStr">
        <is>
          <t>md section + html drill deck</t>
        </is>
      </c>
      <c r="L41" s="6" t="inlineStr">
        <is>
          <t>Yes</t>
        </is>
      </c>
      <c r="M41" s="6" t="inlineStr">
        <is>
          <t>§16 Case 3. Format: prompt / ask / weak vs strong answer / architecture / trade-offs / metrics / recommendation.</t>
        </is>
      </c>
      <c r="N41" s="6" t="inlineStr">
        <is>
          <t>G05_Sales_Copilot/</t>
        </is>
      </c>
      <c r="O41" s="12" t="inlineStr">
        <is>
          <t>https://forward-deployed-sigma.vercel.app/modules/15-fde-case-studies/agents-that-act/sales-copilot</t>
        </is>
      </c>
    </row>
    <row r="42">
      <c r="A42" s="6" t="n">
        <v>41</v>
      </c>
      <c r="B42" s="6" t="inlineStr">
        <is>
          <t>Cost/latency drill case</t>
        </is>
      </c>
      <c r="C42" s="6" t="inlineStr">
        <is>
          <t>G07 Secure multi-tenant AI platform</t>
        </is>
      </c>
      <c r="D42" s="10" t="inlineStr">
        <is>
          <t>Same system, cost/latency question — 10-min add-on</t>
        </is>
      </c>
      <c r="E42" s="6" t="inlineStr">
        <is>
          <t>Attach to #16 Secure Multi-Tenant AI Platform (G07). Driver: Uncontrolled spend with no attribution, and a shared cache that leaks across tenants. Lever: Tenant-aware gateway with budget check before the model call; cache keyed on tenant + permission signature; quota alerts. Prove: Cost per tenant; quota usage; cross-tenant access tests; cache hit rate by tenant. Line: Make tenant_id and permission_signature first-class in every service. Budgets are contractual, so meter before the call, not after. (Drill Add-ons tab)</t>
        </is>
      </c>
      <c r="F42" s="6" t="inlineStr">
        <is>
          <t>Multi-tenant GenAI platform with per-customer budgets</t>
        </is>
      </c>
      <c r="G42" s="6" t="inlineStr">
        <is>
          <t>Study Guides — Cost &amp; Latency Optimization (§16)</t>
        </is>
      </c>
      <c r="H42" s="6" t="inlineStr">
        <is>
          <t>Study_Guides/Cost_Latency_Optimization/CRAM_SHEET_S15_S16.md</t>
        </is>
      </c>
      <c r="I42" s="6" t="inlineStr"/>
      <c r="J42" s="6" t="inlineStr">
        <is>
          <t>Study_Guides/Cost_Latency_Optimization/Cost_Latency_Drills_S15_S16.html (drill deck)</t>
        </is>
      </c>
      <c r="K42" s="6" t="inlineStr">
        <is>
          <t>md section + html drill deck</t>
        </is>
      </c>
      <c r="L42" s="6" t="inlineStr">
        <is>
          <t>Yes</t>
        </is>
      </c>
      <c r="M42" s="6" t="inlineStr">
        <is>
          <t>§16 Case 4. Format: prompt / ask / weak vs strong answer / architecture / trade-offs / metrics / recommendation.</t>
        </is>
      </c>
      <c r="N42" s="6" t="inlineStr">
        <is>
          <t>G07_Secure_Multi_Tenant_AI_Platform/</t>
        </is>
      </c>
      <c r="O42" s="12" t="inlineStr">
        <is>
          <t>https://forward-deployed-sigma.vercel.app/modules/15-fde-case-studies/platforms-and-scale/secure-multi-tenant-ai-platform</t>
        </is>
      </c>
    </row>
    <row r="43">
      <c r="A43" s="6" t="n">
        <v>42</v>
      </c>
      <c r="B43" s="6" t="inlineStr">
        <is>
          <t>Cost/latency drill case</t>
        </is>
      </c>
      <c r="C43" s="6" t="inlineStr">
        <is>
          <t>G10 High-volume batch / document pipeline</t>
        </is>
      </c>
      <c r="D43" s="10" t="inlineStr">
        <is>
          <t>Same system, cost/latency question — 10-min add-on</t>
        </is>
      </c>
      <c r="E43" s="6" t="inlineStr">
        <is>
          <t>Attach to #21 High-Volume Batch Inference (G10). Driver: Reprocessing unchanged documents on a premium model. Lever: Content hash and change detection; dedupe; cheaper model in batch mode; sampled strong-model audit. Prove: Changed ratio; cost per document; queue depth; eval score on the sample. Line: Never reprocess an unchanged document without a reason. Batch buys throughput not latency, so quality is proven by sampling. (Drill Add-ons tab)</t>
        </is>
      </c>
      <c r="F43" s="6" t="inlineStr">
        <is>
          <t>Document summarization pipeline for batch processing</t>
        </is>
      </c>
      <c r="G43" s="6" t="inlineStr">
        <is>
          <t>Study Guides — Cost &amp; Latency Optimization (§16)</t>
        </is>
      </c>
      <c r="H43" s="6" t="inlineStr">
        <is>
          <t>Study_Guides/Cost_Latency_Optimization/CRAM_SHEET_S15_S16.md</t>
        </is>
      </c>
      <c r="I43" s="6" t="inlineStr"/>
      <c r="J43" s="6" t="inlineStr">
        <is>
          <t>Study_Guides/Cost_Latency_Optimization/Cost_Latency_Drills_S15_S16.html (drill deck)</t>
        </is>
      </c>
      <c r="K43" s="6" t="inlineStr">
        <is>
          <t>md section + html drill deck</t>
        </is>
      </c>
      <c r="L43" s="6" t="inlineStr">
        <is>
          <t>Yes</t>
        </is>
      </c>
      <c r="M43" s="6" t="inlineStr">
        <is>
          <t>§16 Case 5. Format: prompt / ask / weak vs strong answer / architecture / trade-offs / metrics / recommendation.</t>
        </is>
      </c>
      <c r="N43" s="6" t="inlineStr">
        <is>
          <t>G10_High_Volume_Batch_Pipeline/</t>
        </is>
      </c>
      <c r="O43" s="12" t="inlineStr">
        <is>
          <t>https://forward-deployed-sigma.vercel.app/modules/15-fde-case-studies/platforms-and-scale/high-volume-batch-pipeline</t>
        </is>
      </c>
    </row>
    <row r="44">
      <c r="A44" s="6" t="n">
        <v>43</v>
      </c>
      <c r="B44" s="6" t="inlineStr">
        <is>
          <t>Cost/latency drill case</t>
        </is>
      </c>
      <c r="C44" s="6" t="inlineStr">
        <is>
          <t>G16 Real-time call assistant</t>
        </is>
      </c>
      <c r="D44" s="10" t="inlineStr">
        <is>
          <t>Same system, cost/latency question — 10-min add-on</t>
        </is>
      </c>
      <c r="E44" s="6" t="inlineStr">
        <is>
          <t>Attach to #59 Call Assistant (G16). Driver: Synchronous live CRM lookup plus a large model inside the 3-second window. Lever: Precompute account context before the call; small prompt with a fast model streamed during; enrichment and CRM update async after. Prove: First-token latency; total latency; precompute hit rate; user accept rate; timeout rate. Line: Sub-3 seconds is a workflow design problem, not a model choice. Split before, during and after the call. (Drill Add-ons tab)</t>
        </is>
      </c>
      <c r="F44" s="6" t="inlineStr">
        <is>
          <t>Real-time sales assistant, sub-3-second response</t>
        </is>
      </c>
      <c r="G44" s="6" t="inlineStr">
        <is>
          <t>Study Guides — Cost &amp; Latency Optimization (§16)</t>
        </is>
      </c>
      <c r="H44" s="6" t="inlineStr">
        <is>
          <t>Study_Guides/Cost_Latency_Optimization/CRAM_SHEET_S15_S16.md</t>
        </is>
      </c>
      <c r="I44" s="6" t="inlineStr"/>
      <c r="J44" s="6" t="inlineStr">
        <is>
          <t>Study_Guides/Cost_Latency_Optimization/Cost_Latency_Drills_S15_S16.html (drill deck)</t>
        </is>
      </c>
      <c r="K44" s="6" t="inlineStr">
        <is>
          <t>md section + html drill deck</t>
        </is>
      </c>
      <c r="L44" s="6" t="inlineStr">
        <is>
          <t>Yes</t>
        </is>
      </c>
      <c r="M44" s="6" t="inlineStr">
        <is>
          <t>§16 Case 6. Format: prompt / ask / weak vs strong answer / architecture / trade-offs / metrics / recommendation.</t>
        </is>
      </c>
      <c r="N44" s="6" t="inlineStr">
        <is>
          <t>G16_Real_Time_Call_Assistant/</t>
        </is>
      </c>
      <c r="O44" s="12" t="inlineStr">
        <is>
          <t>https://forward-deployed-sigma.vercel.app/modules/15-fde-case-studies/agents-that-act/real-time-call-assistant</t>
        </is>
      </c>
    </row>
    <row r="45">
      <c r="A45" s="6" t="n">
        <v>44</v>
      </c>
      <c r="B45" s="6" t="inlineStr">
        <is>
          <t>Cost/latency drill case</t>
        </is>
      </c>
      <c r="C45" s="6" t="inlineStr">
        <is>
          <t>G14 Observability and production diagnosis</t>
        </is>
      </c>
      <c r="D45" s="10" t="inlineStr">
        <is>
          <t>Same system, cost/latency question — 10-min add-on</t>
        </is>
      </c>
      <c r="E45" s="6" t="inlineStr">
        <is>
          <t>Attach to #24 Observability for a Customer-Facing AI App (G14). Driver: Unknown until attributed: usually retries, agent loops, batch or eval jobs, or an integration loop. Lever: Spend circuit breaker first; attribute by tenant and feature; cap output; pause batch and eval; downgrade premium routing; tenant quotas; then root cause. Prove: Cost per minute; tokens per request; model distribution; retry count; agent steps; tenant usage. Line: Contain, attribute, then diagnose. Keep low-cost safe paths online while disabling runaway paths. The real lesson is that budget guardrails must exist before launch. (Drill Add-ons tab)</t>
        </is>
      </c>
      <c r="F45" s="6" t="inlineStr">
        <is>
          <t>Incident: LLM costs exploded after launch</t>
        </is>
      </c>
      <c r="G45" s="6" t="inlineStr">
        <is>
          <t>Study Guides — Cost &amp; Latency Optimization (§16)</t>
        </is>
      </c>
      <c r="H45" s="6" t="inlineStr">
        <is>
          <t>Study_Guides/Cost_Latency_Optimization/CRAM_SHEET_S15_S16.md</t>
        </is>
      </c>
      <c r="I45" s="6" t="inlineStr"/>
      <c r="J45" s="6" t="inlineStr">
        <is>
          <t>Study_Guides/Cost_Latency_Optimization/Cost_Latency_Drills_S15_S16.html (drill deck)</t>
        </is>
      </c>
      <c r="K45" s="6" t="inlineStr">
        <is>
          <t>md section + html drill deck</t>
        </is>
      </c>
      <c r="L45" s="6" t="inlineStr">
        <is>
          <t>Yes</t>
        </is>
      </c>
      <c r="M45" s="6" t="inlineStr">
        <is>
          <t>§16 Case 7. Format: prompt / ask / weak vs strong answer / architecture / trade-offs / metrics / recommendation.</t>
        </is>
      </c>
      <c r="N45" s="6" t="inlineStr">
        <is>
          <t>G14_Observability_And_Production_Diagnosis/</t>
        </is>
      </c>
      <c r="O45" s="12" t="inlineStr">
        <is>
          <t>https://forward-deployed-sigma.vercel.app/modules/15-fde-case-studies/delivery-evaluation-operations/observability-and-production-diagnosis</t>
        </is>
      </c>
    </row>
    <row r="46">
      <c r="A46" s="6" t="n">
        <v>45</v>
      </c>
      <c r="B46" s="6" t="inlineStr">
        <is>
          <t>Decomposition prompt</t>
        </is>
      </c>
      <c r="C46" s="6" t="inlineStr">
        <is>
          <t>G01 Enterprise knowledge assistant (permission-aware RAG)</t>
        </is>
      </c>
      <c r="D46" s="6" t="inlineStr">
        <is>
          <t>Covered by anchor — read delta only</t>
        </is>
      </c>
      <c r="E46" s="6" t="inlineStr">
        <is>
          <t>Question-bank version of the same prompt. Talking points only.</t>
        </is>
      </c>
      <c r="F46" s="6" t="inlineStr">
        <is>
          <t>Enterprise Knowledge Assistant</t>
        </is>
      </c>
      <c r="G46" s="6" t="inlineStr">
        <is>
          <t>OpenAI Applied — Problem Decomposition question bank</t>
        </is>
      </c>
      <c r="H46" s="6" t="inlineStr">
        <is>
          <t>OpenAI_Applied/Sample_Questions/OpenAI Applied_Engineer_Problem_Decomposition_Questions.md</t>
        </is>
      </c>
      <c r="I46" s="6" t="inlineStr"/>
      <c r="J46" s="6" t="inlineStr">
        <is>
          <t>Same folder: .html render of this markdown (openai_decomposition_interview_prep.html is a DIFFERENT list, rows 66-84)</t>
        </is>
      </c>
      <c r="K46" s="6" t="inlineStr">
        <is>
          <t>md + html</t>
        </is>
      </c>
      <c r="L46" s="6" t="inlineStr">
        <is>
          <t>Yes</t>
        </is>
      </c>
      <c r="M46" s="6" t="inlineStr">
        <is>
          <t>Question 1. Talking points + likely follow-up, not a full worked design.</t>
        </is>
      </c>
      <c r="N46" s="6" t="inlineStr">
        <is>
          <t>G01_Enterprise_Knowledge_Assistant/</t>
        </is>
      </c>
      <c r="O46" s="12" t="inlineStr">
        <is>
          <t>https://forward-deployed-sigma.vercel.app/modules/15-fde-case-studies/knowledge-retrieval/enterprise-knowledge-assistant</t>
        </is>
      </c>
    </row>
    <row r="47">
      <c r="A47" s="6" t="n">
        <v>46</v>
      </c>
      <c r="B47" s="6" t="inlineStr">
        <is>
          <t>Decomposition prompt</t>
        </is>
      </c>
      <c r="C47" s="6" t="inlineStr">
        <is>
          <t>G02 Customer-support automation</t>
        </is>
      </c>
      <c r="D47" s="6" t="inlineStr">
        <is>
          <t>Covered by anchor — read delta only</t>
        </is>
      </c>
      <c r="E47" s="6" t="inlineStr">
        <is>
          <t>Question-bank version. Talking points only.</t>
        </is>
      </c>
      <c r="F47" s="6" t="inlineStr">
        <is>
          <t>Customer-Support Agent</t>
        </is>
      </c>
      <c r="G47" s="6" t="inlineStr">
        <is>
          <t>OpenAI Applied — Problem Decomposition question bank</t>
        </is>
      </c>
      <c r="H47" s="6" t="inlineStr">
        <is>
          <t>OpenAI_Applied/Sample_Questions/OpenAI Applied_Engineer_Problem_Decomposition_Questions.md</t>
        </is>
      </c>
      <c r="I47" s="6" t="inlineStr"/>
      <c r="J47" s="6" t="inlineStr">
        <is>
          <t>Same folder: .html render of this markdown (openai_decomposition_interview_prep.html is a DIFFERENT list, rows 66-84)</t>
        </is>
      </c>
      <c r="K47" s="6" t="inlineStr">
        <is>
          <t>md + html</t>
        </is>
      </c>
      <c r="L47" s="6" t="inlineStr">
        <is>
          <t>Yes</t>
        </is>
      </c>
      <c r="M47" s="6" t="inlineStr">
        <is>
          <t>Question 2. Talking points + likely follow-up, not a full worked design.</t>
        </is>
      </c>
      <c r="N47" s="6" t="inlineStr">
        <is>
          <t>G02_Customer_Support_Automation/</t>
        </is>
      </c>
      <c r="O47" s="12" t="inlineStr">
        <is>
          <t>https://forward-deployed-sigma.vercel.app/modules/15-fde-case-studies/agents-that-act/customer-support-automation</t>
        </is>
      </c>
    </row>
    <row r="48">
      <c r="A48" s="6" t="n">
        <v>47</v>
      </c>
      <c r="B48" s="6" t="inlineStr">
        <is>
          <t>Decomposition prompt</t>
        </is>
      </c>
      <c r="C48" s="6" t="inlineStr">
        <is>
          <t>G08 Document review / extraction copilot with policy check</t>
        </is>
      </c>
      <c r="D48" s="6" t="inlineStr">
        <is>
          <t>Covered by anchor — read delta only</t>
        </is>
      </c>
      <c r="E48" s="6" t="inlineStr">
        <is>
          <t>Question-bank claims-processing version. Talking points only.</t>
        </is>
      </c>
      <c r="F48" s="6" t="inlineStr">
        <is>
          <t>Claims-Processing Assistant</t>
        </is>
      </c>
      <c r="G48" s="6" t="inlineStr">
        <is>
          <t>OpenAI Applied — Problem Decomposition question bank</t>
        </is>
      </c>
      <c r="H48" s="6" t="inlineStr">
        <is>
          <t>OpenAI_Applied/Sample_Questions/OpenAI Applied_Engineer_Problem_Decomposition_Questions.md</t>
        </is>
      </c>
      <c r="I48" s="6" t="inlineStr"/>
      <c r="J48" s="6" t="inlineStr">
        <is>
          <t>Same folder: .html render of this markdown (openai_decomposition_interview_prep.html is a DIFFERENT list, rows 66-84)</t>
        </is>
      </c>
      <c r="K48" s="6" t="inlineStr">
        <is>
          <t>md + html</t>
        </is>
      </c>
      <c r="L48" s="6" t="inlineStr">
        <is>
          <t>Yes</t>
        </is>
      </c>
      <c r="M48" s="6" t="inlineStr">
        <is>
          <t>Question 3. Talking points + likely follow-up, not a full worked design.</t>
        </is>
      </c>
      <c r="N48" s="6" t="inlineStr">
        <is>
          <t>G08_Document_Review_Copilot/</t>
        </is>
      </c>
      <c r="O48" s="12" t="inlineStr">
        <is>
          <t>https://forward-deployed-sigma.vercel.app/modules/15-fde-case-studies/knowledge-retrieval/document-review-copilot</t>
        </is>
      </c>
    </row>
    <row r="49">
      <c r="A49" s="6" t="n">
        <v>48</v>
      </c>
      <c r="B49" s="6" t="inlineStr">
        <is>
          <t>Decomposition prompt</t>
        </is>
      </c>
      <c r="C49" s="6" t="inlineStr">
        <is>
          <t>G05 Sales copilot / account research</t>
        </is>
      </c>
      <c r="D49" s="6" t="inlineStr">
        <is>
          <t>Covered by anchor — read delta only</t>
        </is>
      </c>
      <c r="E49" s="6" t="inlineStr">
        <is>
          <t>Question-bank version. Talking points only.</t>
        </is>
      </c>
      <c r="F49" s="6" t="inlineStr">
        <is>
          <t>AI-Powered Sales or Account-Research Assistant</t>
        </is>
      </c>
      <c r="G49" s="6" t="inlineStr">
        <is>
          <t>OpenAI Applied — Problem Decomposition question bank</t>
        </is>
      </c>
      <c r="H49" s="6" t="inlineStr">
        <is>
          <t>OpenAI_Applied/Sample_Questions/OpenAI Applied_Engineer_Problem_Decomposition_Questions.md</t>
        </is>
      </c>
      <c r="I49" s="6" t="inlineStr"/>
      <c r="J49" s="6" t="inlineStr">
        <is>
          <t>Same folder: .html render of this markdown (openai_decomposition_interview_prep.html is a DIFFERENT list, rows 66-84)</t>
        </is>
      </c>
      <c r="K49" s="6" t="inlineStr">
        <is>
          <t>md + html</t>
        </is>
      </c>
      <c r="L49" s="6" t="inlineStr">
        <is>
          <t>Yes</t>
        </is>
      </c>
      <c r="M49" s="6" t="inlineStr">
        <is>
          <t>Question 4. Talking points + likely follow-up, not a full worked design.</t>
        </is>
      </c>
      <c r="N49" s="6" t="inlineStr">
        <is>
          <t>G05_Sales_Copilot/</t>
        </is>
      </c>
      <c r="O49" s="12" t="inlineStr">
        <is>
          <t>https://forward-deployed-sigma.vercel.app/modules/15-fde-case-studies/agents-that-act/sales-copilot</t>
        </is>
      </c>
    </row>
    <row r="50">
      <c r="A50" s="6" t="n">
        <v>49</v>
      </c>
      <c r="B50" s="6" t="inlineStr">
        <is>
          <t>Decomposition prompt</t>
        </is>
      </c>
      <c r="C50" s="6" t="inlineStr">
        <is>
          <t>G10 High-volume batch / document pipeline</t>
        </is>
      </c>
      <c r="D50" s="6" t="inlineStr">
        <is>
          <t>Covered by anchor — read delta only</t>
        </is>
      </c>
      <c r="E50" s="6" t="inlineStr">
        <is>
          <t>Extraction-platform framing (bank, millions of documents). Delta: extraction schema + QA sampling.</t>
        </is>
      </c>
      <c r="F50" s="6" t="inlineStr">
        <is>
          <t>Enterprise Document-Processing Platform</t>
        </is>
      </c>
      <c r="G50" s="6" t="inlineStr">
        <is>
          <t>OpenAI Applied — Problem Decomposition question bank</t>
        </is>
      </c>
      <c r="H50" s="6" t="inlineStr">
        <is>
          <t>OpenAI_Applied/Sample_Questions/OpenAI Applied_Engineer_Problem_Decomposition_Questions.md</t>
        </is>
      </c>
      <c r="I50" s="6" t="inlineStr"/>
      <c r="J50" s="6" t="inlineStr">
        <is>
          <t>Same folder: .html render of this markdown (openai_decomposition_interview_prep.html is a DIFFERENT list, rows 66-84)</t>
        </is>
      </c>
      <c r="K50" s="6" t="inlineStr">
        <is>
          <t>md + html</t>
        </is>
      </c>
      <c r="L50" s="6" t="inlineStr">
        <is>
          <t>Yes</t>
        </is>
      </c>
      <c r="M50" s="6" t="inlineStr">
        <is>
          <t>Question 5. Talking points + likely follow-up, not a full worked design.</t>
        </is>
      </c>
      <c r="N50" s="6" t="inlineStr">
        <is>
          <t>G10_High_Volume_Batch_Pipeline/</t>
        </is>
      </c>
      <c r="O50" s="12" t="inlineStr">
        <is>
          <t>https://forward-deployed-sigma.vercel.app/modules/15-fde-case-studies/platforms-and-scale/high-volume-batch-pipeline</t>
        </is>
      </c>
    </row>
    <row r="51">
      <c r="A51" s="6" t="n">
        <v>50</v>
      </c>
      <c r="B51" s="6" t="inlineStr">
        <is>
          <t>Decomposition prompt</t>
        </is>
      </c>
      <c r="C51" s="6" t="inlineStr">
        <is>
          <t>G03 Tool-using agent acting across enterprise systems</t>
        </is>
      </c>
      <c r="D51" s="6" t="inlineStr">
        <is>
          <t>Covered by anchor — read delta only</t>
        </is>
      </c>
      <c r="E51" s="6" t="inlineStr">
        <is>
          <t>Question-bank version (Salesforce/SAP/Jira/email). Talking points only.</t>
        </is>
      </c>
      <c r="F51" s="6" t="inlineStr">
        <is>
          <t>AI Agent for Enterprise Workflow Automation</t>
        </is>
      </c>
      <c r="G51" s="6" t="inlineStr">
        <is>
          <t>OpenAI Applied — Problem Decomposition question bank</t>
        </is>
      </c>
      <c r="H51" s="6" t="inlineStr">
        <is>
          <t>OpenAI_Applied/Sample_Questions/OpenAI Applied_Engineer_Problem_Decomposition_Questions.md</t>
        </is>
      </c>
      <c r="I51" s="6" t="inlineStr"/>
      <c r="J51" s="6" t="inlineStr">
        <is>
          <t>Same folder: .html render of this markdown (openai_decomposition_interview_prep.html is a DIFFERENT list, rows 66-84)</t>
        </is>
      </c>
      <c r="K51" s="6" t="inlineStr">
        <is>
          <t>md + html</t>
        </is>
      </c>
      <c r="L51" s="6" t="inlineStr">
        <is>
          <t>Yes</t>
        </is>
      </c>
      <c r="M51" s="6" t="inlineStr">
        <is>
          <t>Question 6. Talking points + likely follow-up, not a full worked design.</t>
        </is>
      </c>
      <c r="N51" s="6" t="inlineStr">
        <is>
          <t>G03_Tool_Using_Agent_With_Safety_Controls/</t>
        </is>
      </c>
      <c r="O51" s="12" t="inlineStr">
        <is>
          <t>https://forward-deployed-sigma.vercel.app/modules/15-fde-case-studies/agents-that-act/tool-using-agent-with-safety-controls</t>
        </is>
      </c>
    </row>
    <row r="52">
      <c r="A52" s="6" t="n">
        <v>51</v>
      </c>
      <c r="B52" s="6" t="inlineStr">
        <is>
          <t>Decomposition prompt</t>
        </is>
      </c>
      <c r="C52" s="6" t="inlineStr">
        <is>
          <t>G09 Enterprise coding assistant</t>
        </is>
      </c>
      <c r="D52" s="6" t="inlineStr">
        <is>
          <t>Covered by anchor — read delta only</t>
        </is>
      </c>
      <c r="E52" s="6" t="inlineStr">
        <is>
          <t>Question-bank version. Talking points only.</t>
        </is>
      </c>
      <c r="F52" s="6" t="inlineStr">
        <is>
          <t>Enterprise AI Coding Assistant</t>
        </is>
      </c>
      <c r="G52" s="6" t="inlineStr">
        <is>
          <t>OpenAI Applied — Problem Decomposition question bank</t>
        </is>
      </c>
      <c r="H52" s="6" t="inlineStr">
        <is>
          <t>OpenAI_Applied/Sample_Questions/OpenAI Applied_Engineer_Problem_Decomposition_Questions.md</t>
        </is>
      </c>
      <c r="I52" s="6" t="inlineStr"/>
      <c r="J52" s="6" t="inlineStr">
        <is>
          <t>Same folder: .html render of this markdown (openai_decomposition_interview_prep.html is a DIFFERENT list, rows 66-84)</t>
        </is>
      </c>
      <c r="K52" s="6" t="inlineStr">
        <is>
          <t>md + html</t>
        </is>
      </c>
      <c r="L52" s="6" t="inlineStr">
        <is>
          <t>Yes</t>
        </is>
      </c>
      <c r="M52" s="6" t="inlineStr">
        <is>
          <t>Question 7. Talking points + likely follow-up, not a full worked design.</t>
        </is>
      </c>
      <c r="N52" s="6" t="inlineStr">
        <is>
          <t>G09_Enterprise_Coding_Assistant/</t>
        </is>
      </c>
      <c r="O52" s="12" t="inlineStr">
        <is>
          <t>https://forward-deployed-sigma.vercel.app/modules/15-fde-case-studies/agents-that-act/enterprise-coding-assistant</t>
        </is>
      </c>
    </row>
    <row r="53">
      <c r="A53" s="6" t="n">
        <v>52</v>
      </c>
      <c r="B53" s="6" t="inlineStr">
        <is>
          <t>Decomposition prompt</t>
        </is>
      </c>
      <c r="C53" s="6" t="inlineStr">
        <is>
          <t>G13 Evaluation and release gating</t>
        </is>
      </c>
      <c r="D53" s="6" t="inlineStr">
        <is>
          <t>Covered by anchor — read delta only</t>
        </is>
      </c>
      <c r="E53" s="6" t="inlineStr">
        <is>
          <t>Question-bank 'model got worse after upgrade'. Answer = the gate the anchor designs, applied retroactively.</t>
        </is>
      </c>
      <c r="F53" s="6" t="inlineStr">
        <is>
          <t>The Model Got Worse After an Upgrade</t>
        </is>
      </c>
      <c r="G53" s="6" t="inlineStr">
        <is>
          <t>OpenAI Applied — Problem Decomposition question bank</t>
        </is>
      </c>
      <c r="H53" s="6" t="inlineStr">
        <is>
          <t>OpenAI_Applied/Sample_Questions/OpenAI Applied_Engineer_Problem_Decomposition_Questions.md</t>
        </is>
      </c>
      <c r="I53" s="6" t="inlineStr"/>
      <c r="J53" s="6" t="inlineStr">
        <is>
          <t>Same folder: .html render of this markdown (openai_decomposition_interview_prep.html is a DIFFERENT list, rows 66-84)</t>
        </is>
      </c>
      <c r="K53" s="6" t="inlineStr">
        <is>
          <t>md + html</t>
        </is>
      </c>
      <c r="L53" s="6" t="inlineStr">
        <is>
          <t>Yes</t>
        </is>
      </c>
      <c r="M53" s="6" t="inlineStr">
        <is>
          <t>Question 8. Talking points + likely follow-up, not a full worked design.</t>
        </is>
      </c>
      <c r="N53" s="6" t="inlineStr">
        <is>
          <t>G13_Evaluation_And_Release_Gating/</t>
        </is>
      </c>
      <c r="O53" s="12" t="inlineStr">
        <is>
          <t>https://forward-deployed-sigma.vercel.app/modules/15-fde-case-studies/delivery-evaluation-operations/evaluation-and-release-gating</t>
        </is>
      </c>
    </row>
    <row r="54">
      <c r="A54" s="6" t="n">
        <v>53</v>
      </c>
      <c r="B54" s="6" t="inlineStr">
        <is>
          <t>Decomposition prompt</t>
        </is>
      </c>
      <c r="C54" s="6" t="inlineStr">
        <is>
          <t>G14 Observability and production diagnosis</t>
        </is>
      </c>
      <c r="D54" s="10" t="inlineStr">
        <is>
          <t>Same system, cost/latency question — 10-min add-on</t>
        </is>
      </c>
      <c r="E54" s="6" t="inlineStr">
        <is>
          <t>Latency-regression drill. Anchor's percentile/path decomposition covers it.</t>
        </is>
      </c>
      <c r="F54" s="6" t="inlineStr">
        <is>
          <t>Latency Regression in an LLM Application</t>
        </is>
      </c>
      <c r="G54" s="6" t="inlineStr">
        <is>
          <t>OpenAI Applied — Problem Decomposition question bank</t>
        </is>
      </c>
      <c r="H54" s="6" t="inlineStr">
        <is>
          <t>OpenAI_Applied/Sample_Questions/OpenAI Applied_Engineer_Problem_Decomposition_Questions.md</t>
        </is>
      </c>
      <c r="I54" s="6" t="inlineStr"/>
      <c r="J54" s="6" t="inlineStr">
        <is>
          <t>Same folder: .html render of this markdown (openai_decomposition_interview_prep.html is a DIFFERENT list, rows 66-84)</t>
        </is>
      </c>
      <c r="K54" s="6" t="inlineStr">
        <is>
          <t>md + html</t>
        </is>
      </c>
      <c r="L54" s="6" t="inlineStr">
        <is>
          <t>Yes</t>
        </is>
      </c>
      <c r="M54" s="6" t="inlineStr">
        <is>
          <t>Question 9. Talking points + likely follow-up, not a full worked design.</t>
        </is>
      </c>
      <c r="N54" s="6" t="inlineStr">
        <is>
          <t>G14_Observability_And_Production_Diagnosis/</t>
        </is>
      </c>
      <c r="O54" s="12" t="inlineStr">
        <is>
          <t>https://forward-deployed-sigma.vercel.app/modules/15-fde-case-studies/delivery-evaluation-operations/observability-and-production-diagnosis</t>
        </is>
      </c>
    </row>
    <row r="55">
      <c r="A55" s="6" t="n">
        <v>54</v>
      </c>
      <c r="B55" s="6" t="inlineStr">
        <is>
          <t>Decomposition prompt</t>
        </is>
      </c>
      <c r="C55" s="6" t="inlineStr">
        <is>
          <t>G14 Observability and production diagnosis</t>
        </is>
      </c>
      <c r="D55" s="6" t="inlineStr">
        <is>
          <t>Covered by anchor — read delta only</t>
        </is>
      </c>
      <c r="E55" s="6" t="inlineStr">
        <is>
          <t>RAG-quality debugging drill. Delta: separate retrieval vs generation metrics; 5 minutes.</t>
        </is>
      </c>
      <c r="F55" s="6" t="inlineStr">
        <is>
          <t>RAG System with Poor Answer Quality</t>
        </is>
      </c>
      <c r="G55" s="6" t="inlineStr">
        <is>
          <t>OpenAI Applied — Problem Decomposition question bank</t>
        </is>
      </c>
      <c r="H55" s="6" t="inlineStr">
        <is>
          <t>OpenAI_Applied/Sample_Questions/OpenAI Applied_Engineer_Problem_Decomposition_Questions.md</t>
        </is>
      </c>
      <c r="I55" s="6" t="inlineStr"/>
      <c r="J55" s="6" t="inlineStr">
        <is>
          <t>Same folder: .html render of this markdown (openai_decomposition_interview_prep.html is a DIFFERENT list, rows 66-84)</t>
        </is>
      </c>
      <c r="K55" s="6" t="inlineStr">
        <is>
          <t>md + html</t>
        </is>
      </c>
      <c r="L55" s="6" t="inlineStr">
        <is>
          <t>Yes</t>
        </is>
      </c>
      <c r="M55" s="6" t="inlineStr">
        <is>
          <t>Question 10. Talking points + likely follow-up, not a full worked design.</t>
        </is>
      </c>
      <c r="N55" s="6" t="inlineStr">
        <is>
          <t>G14_Observability_And_Production_Diagnosis/</t>
        </is>
      </c>
      <c r="O55" s="12" t="inlineStr">
        <is>
          <t>https://forward-deployed-sigma.vercel.app/modules/15-fde-case-studies/delivery-evaluation-operations/observability-and-production-diagnosis</t>
        </is>
      </c>
    </row>
    <row r="56">
      <c r="A56" s="6" t="n">
        <v>55</v>
      </c>
      <c r="B56" s="6" t="inlineStr">
        <is>
          <t>Decomposition prompt</t>
        </is>
      </c>
      <c r="C56" s="6" t="inlineStr">
        <is>
          <t>G13 Evaluation and release gating</t>
        </is>
      </c>
      <c r="D56" s="6" t="inlineStr">
        <is>
          <t>Covered by anchor — read delta only</t>
        </is>
      </c>
      <c r="E56" s="6" t="inlineStr">
        <is>
          <t>Question-bank 'build an eval strategy'. The anchor's evidence/threshold answer covers it.</t>
        </is>
      </c>
      <c r="F56" s="6" t="inlineStr">
        <is>
          <t>Build an Evaluation Strategy for an AI Application</t>
        </is>
      </c>
      <c r="G56" s="6" t="inlineStr">
        <is>
          <t>OpenAI Applied — Problem Decomposition question bank</t>
        </is>
      </c>
      <c r="H56" s="6" t="inlineStr">
        <is>
          <t>OpenAI_Applied/Sample_Questions/OpenAI Applied_Engineer_Problem_Decomposition_Questions.md</t>
        </is>
      </c>
      <c r="I56" s="6" t="inlineStr"/>
      <c r="J56" s="6" t="inlineStr">
        <is>
          <t>Same folder: .html render of this markdown (openai_decomposition_interview_prep.html is a DIFFERENT list, rows 66-84)</t>
        </is>
      </c>
      <c r="K56" s="6" t="inlineStr">
        <is>
          <t>md + html</t>
        </is>
      </c>
      <c r="L56" s="6" t="inlineStr">
        <is>
          <t>Yes</t>
        </is>
      </c>
      <c r="M56" s="6" t="inlineStr">
        <is>
          <t>Question 11. Talking points + likely follow-up, not a full worked design.</t>
        </is>
      </c>
      <c r="N56" s="6" t="inlineStr">
        <is>
          <t>G13_Evaluation_And_Release_Gating/</t>
        </is>
      </c>
      <c r="O56" s="12" t="inlineStr">
        <is>
          <t>https://forward-deployed-sigma.vercel.app/modules/15-fde-case-studies/delivery-evaluation-operations/evaluation-and-release-gating</t>
        </is>
      </c>
    </row>
    <row r="57">
      <c r="A57" s="6" t="n">
        <v>56</v>
      </c>
      <c r="B57" s="6" t="inlineStr">
        <is>
          <t>Decomposition prompt</t>
        </is>
      </c>
      <c r="C57" s="6" t="inlineStr">
        <is>
          <t>G08 Document review / extraction copilot with policy check</t>
        </is>
      </c>
      <c r="D57" s="6" t="inlineStr">
        <is>
          <t>Covered by anchor — read delta only</t>
        </is>
      </c>
      <c r="E57" s="6" t="inlineStr">
        <is>
          <t>Question-bank 'regulated industry' prompt. The anchor's PHI/consent/audit answer covers it.</t>
        </is>
      </c>
      <c r="F57" s="6" t="inlineStr">
        <is>
          <t>Deploying AI in a Highly Regulated Industry</t>
        </is>
      </c>
      <c r="G57" s="6" t="inlineStr">
        <is>
          <t>OpenAI Applied — Problem Decomposition question bank</t>
        </is>
      </c>
      <c r="H57" s="6" t="inlineStr">
        <is>
          <t>OpenAI_Applied/Sample_Questions/OpenAI Applied_Engineer_Problem_Decomposition_Questions.md</t>
        </is>
      </c>
      <c r="I57" s="6" t="inlineStr"/>
      <c r="J57" s="6" t="inlineStr">
        <is>
          <t>Same folder: .html render of this markdown (openai_decomposition_interview_prep.html is a DIFFERENT list, rows 66-84)</t>
        </is>
      </c>
      <c r="K57" s="6" t="inlineStr">
        <is>
          <t>md + html</t>
        </is>
      </c>
      <c r="L57" s="6" t="inlineStr">
        <is>
          <t>Yes</t>
        </is>
      </c>
      <c r="M57" s="6" t="inlineStr">
        <is>
          <t>Question 12. Talking points + likely follow-up, not a full worked design.</t>
        </is>
      </c>
      <c r="N57" s="6" t="inlineStr">
        <is>
          <t>G08_Document_Review_Copilot/</t>
        </is>
      </c>
      <c r="O57" s="12" t="inlineStr">
        <is>
          <t>https://forward-deployed-sigma.vercel.app/modules/15-fde-case-studies/knowledge-retrieval/document-review-copilot</t>
        </is>
      </c>
    </row>
    <row r="58">
      <c r="A58" s="6" t="n">
        <v>57</v>
      </c>
      <c r="B58" s="6" t="inlineStr">
        <is>
          <t>Decomposition prompt</t>
        </is>
      </c>
      <c r="C58" s="6" t="inlineStr">
        <is>
          <t>G01 Enterprise knowledge assistant (permission-aware RAG)</t>
        </is>
      </c>
      <c r="D58" s="6" t="inlineStr">
        <is>
          <t>Covered by anchor — read delta only</t>
        </is>
      </c>
      <c r="E58" s="6" t="inlineStr">
        <is>
          <t>Same prompt phrased as 'unified search'. Delta: connector/indexing fan-out across 6 sources; say 'federated vs indexed' once.</t>
        </is>
      </c>
      <c r="F58" s="6" t="inlineStr">
        <is>
          <t>AI Search Across Many Enterprise Data Sources</t>
        </is>
      </c>
      <c r="G58" s="6" t="inlineStr">
        <is>
          <t>OpenAI Applied — Problem Decomposition question bank</t>
        </is>
      </c>
      <c r="H58" s="6" t="inlineStr">
        <is>
          <t>OpenAI_Applied/Sample_Questions/OpenAI Applied_Engineer_Problem_Decomposition_Questions.md</t>
        </is>
      </c>
      <c r="I58" s="6" t="inlineStr"/>
      <c r="J58" s="6" t="inlineStr">
        <is>
          <t>Same folder: .html render of this markdown (openai_decomposition_interview_prep.html is a DIFFERENT list, rows 66-84)</t>
        </is>
      </c>
      <c r="K58" s="6" t="inlineStr">
        <is>
          <t>md + html</t>
        </is>
      </c>
      <c r="L58" s="6" t="inlineStr">
        <is>
          <t>Yes</t>
        </is>
      </c>
      <c r="M58" s="6" t="inlineStr">
        <is>
          <t>Question 13. Talking points + likely follow-up, not a full worked design.</t>
        </is>
      </c>
      <c r="N58" s="6" t="inlineStr">
        <is>
          <t>G01_Enterprise_Knowledge_Assistant/</t>
        </is>
      </c>
      <c r="O58" s="12" t="inlineStr">
        <is>
          <t>https://forward-deployed-sigma.vercel.app/modules/15-fde-case-studies/knowledge-retrieval/enterprise-knowledge-assistant</t>
        </is>
      </c>
    </row>
    <row r="59">
      <c r="A59" s="6" t="n">
        <v>58</v>
      </c>
      <c r="B59" s="6" t="inlineStr">
        <is>
          <t>Decomposition prompt</t>
        </is>
      </c>
      <c r="C59" s="6" t="inlineStr">
        <is>
          <t>G04 SRE / incident-response agent</t>
        </is>
      </c>
      <c r="D59" s="6" t="inlineStr">
        <is>
          <t>Covered by anchor — read delta only</t>
        </is>
      </c>
      <c r="E59" s="6" t="inlineStr">
        <is>
          <t>Question-bank version. Talking points only.</t>
        </is>
      </c>
      <c r="F59" s="6" t="inlineStr">
        <is>
          <t>AI-Powered Operations or Incident-Response Assistant</t>
        </is>
      </c>
      <c r="G59" s="6" t="inlineStr">
        <is>
          <t>OpenAI Applied — Problem Decomposition question bank</t>
        </is>
      </c>
      <c r="H59" s="6" t="inlineStr">
        <is>
          <t>OpenAI_Applied/Sample_Questions/OpenAI Applied_Engineer_Problem_Decomposition_Questions.md</t>
        </is>
      </c>
      <c r="I59" s="6" t="inlineStr"/>
      <c r="J59" s="6" t="inlineStr">
        <is>
          <t>Same folder: .html render of this markdown (openai_decomposition_interview_prep.html is a DIFFERENT list, rows 66-84)</t>
        </is>
      </c>
      <c r="K59" s="6" t="inlineStr">
        <is>
          <t>md + html</t>
        </is>
      </c>
      <c r="L59" s="6" t="inlineStr">
        <is>
          <t>Yes</t>
        </is>
      </c>
      <c r="M59" s="6" t="inlineStr">
        <is>
          <t>Question 14. Talking points + likely follow-up, not a full worked design.</t>
        </is>
      </c>
      <c r="N59" s="6" t="inlineStr">
        <is>
          <t>G04_SRE_Incident_Response_Agent/</t>
        </is>
      </c>
      <c r="O59" s="12" t="inlineStr">
        <is>
          <t>https://forward-deployed-sigma.vercel.app/modules/15-fde-case-studies/agents-that-act/sre-incident-response-agent</t>
        </is>
      </c>
    </row>
    <row r="60">
      <c r="A60" s="8" t="n">
        <v>59</v>
      </c>
      <c r="B60" s="8" t="inlineStr">
        <is>
          <t>Decomposition prompt</t>
        </is>
      </c>
      <c r="C60" s="8" t="inlineStr">
        <is>
          <t>G16 Real-time call assistant</t>
        </is>
      </c>
      <c r="D60" s="9" t="inlineStr">
        <is>
          <t>ANCHOR — prepare this</t>
        </is>
      </c>
      <c r="E60" s="8" t="inlineStr">
        <is>
          <t>Anchor by default — no worked design exists for this shape; build your own outline.</t>
        </is>
      </c>
      <c r="F60" s="8" t="inlineStr">
        <is>
          <t>AI Assistant for Sales or Customer-Service Calls</t>
        </is>
      </c>
      <c r="G60" s="6" t="inlineStr">
        <is>
          <t>OpenAI Applied — Problem Decomposition question bank</t>
        </is>
      </c>
      <c r="H60" s="6" t="inlineStr">
        <is>
          <t>OpenAI_Applied/Sample_Questions/OpenAI Applied_Engineer_Problem_Decomposition_Questions.md</t>
        </is>
      </c>
      <c r="I60" s="6" t="inlineStr"/>
      <c r="J60" s="6" t="inlineStr">
        <is>
          <t>Same folder: .html render of this markdown (openai_decomposition_interview_prep.html is a DIFFERENT list, rows 66-84)</t>
        </is>
      </c>
      <c r="K60" s="6" t="inlineStr">
        <is>
          <t>md + html</t>
        </is>
      </c>
      <c r="L60" s="6" t="inlineStr">
        <is>
          <t>Yes</t>
        </is>
      </c>
      <c r="M60" s="6" t="inlineStr">
        <is>
          <t>Question 15. Talking points + likely follow-up, not a full worked design.</t>
        </is>
      </c>
      <c r="N60" s="6" t="inlineStr">
        <is>
          <t>G16_Real_Time_Call_Assistant/</t>
        </is>
      </c>
      <c r="O60" s="12" t="inlineStr">
        <is>
          <t>https://forward-deployed-sigma.vercel.app/modules/15-fde-case-studies/agents-that-act/real-time-call-assistant</t>
        </is>
      </c>
    </row>
    <row r="61">
      <c r="A61" s="6" t="n">
        <v>60</v>
      </c>
      <c r="B61" s="6" t="inlineStr">
        <is>
          <t>Decomposition prompt</t>
        </is>
      </c>
      <c r="C61" s="6" t="inlineStr">
        <is>
          <t>— standalone</t>
        </is>
      </c>
      <c r="D61" s="6" t="inlineStr">
        <is>
          <t>Prepare on its own</t>
        </is>
      </c>
      <c r="E61" s="6" t="inlineStr">
        <is>
          <t>Prioritise 30 AI use cases — portfolio judgement, not design.</t>
        </is>
      </c>
      <c r="F61" s="6" t="inlineStr">
        <is>
          <t>Prioritize AI Use Cases for a Large Enterprise</t>
        </is>
      </c>
      <c r="G61" s="6" t="inlineStr">
        <is>
          <t>OpenAI Applied — Problem Decomposition question bank</t>
        </is>
      </c>
      <c r="H61" s="6" t="inlineStr">
        <is>
          <t>OpenAI_Applied/Sample_Questions/OpenAI Applied_Engineer_Problem_Decomposition_Questions.md</t>
        </is>
      </c>
      <c r="I61" s="6" t="inlineStr"/>
      <c r="J61" s="6" t="inlineStr">
        <is>
          <t>Same folder: .html render of this markdown (openai_decomposition_interview_prep.html is a DIFFERENT list, rows 66-84)</t>
        </is>
      </c>
      <c r="K61" s="6" t="inlineStr">
        <is>
          <t>md + html</t>
        </is>
      </c>
      <c r="L61" s="6" t="inlineStr">
        <is>
          <t>Yes</t>
        </is>
      </c>
      <c r="M61" s="6" t="inlineStr">
        <is>
          <t>Question 16. Talking points + likely follow-up, not a full worked design.</t>
        </is>
      </c>
      <c r="N61" s="6" t="inlineStr">
        <is>
          <t>Standalone/60_Prioritize_AI_Use_Cases/60_Prioritize_AI_Use_Cases.md</t>
        </is>
      </c>
      <c r="O61" s="12" t="inlineStr">
        <is>
          <t>https://forward-deployed-sigma.vercel.app/modules/15-fde-case-studies/judgement-and-decomposition/prioritize-ai-use-cases</t>
        </is>
      </c>
    </row>
    <row r="62">
      <c r="A62" s="6" t="n">
        <v>61</v>
      </c>
      <c r="B62" s="6" t="inlineStr">
        <is>
          <t>Decomposition prompt</t>
        </is>
      </c>
      <c r="C62" s="6" t="inlineStr">
        <is>
          <t>— standalone</t>
        </is>
      </c>
      <c r="D62" s="6" t="inlineStr">
        <is>
          <t>Prepare on its own</t>
        </is>
      </c>
      <c r="E62" s="6" t="inlineStr">
        <is>
          <t>Scale a prototype from 100 to 100,000 users — scaling checklist, not design.</t>
        </is>
      </c>
      <c r="F62" s="6" t="inlineStr">
        <is>
          <t>Scale a Successful AI Prototype to Production</t>
        </is>
      </c>
      <c r="G62" s="6" t="inlineStr">
        <is>
          <t>OpenAI Applied — Problem Decomposition question bank</t>
        </is>
      </c>
      <c r="H62" s="6" t="inlineStr">
        <is>
          <t>OpenAI_Applied/Sample_Questions/OpenAI Applied_Engineer_Problem_Decomposition_Questions.md</t>
        </is>
      </c>
      <c r="I62" s="6" t="inlineStr"/>
      <c r="J62" s="6" t="inlineStr">
        <is>
          <t>Same folder: .html render of this markdown (openai_decomposition_interview_prep.html is a DIFFERENT list, rows 66-84)</t>
        </is>
      </c>
      <c r="K62" s="6" t="inlineStr">
        <is>
          <t>md + html</t>
        </is>
      </c>
      <c r="L62" s="6" t="inlineStr">
        <is>
          <t>Yes</t>
        </is>
      </c>
      <c r="M62" s="6" t="inlineStr">
        <is>
          <t>Question 17. Talking points + likely follow-up, not a full worked design.</t>
        </is>
      </c>
      <c r="N62" s="6" t="inlineStr">
        <is>
          <t>Standalone/61_Scale_Prototype_To_Production/61_Scale_Prototype_To_Production.md</t>
        </is>
      </c>
      <c r="O62" s="12" t="inlineStr">
        <is>
          <t>https://forward-deployed-sigma.vercel.app/modules/15-fde-case-studies/judgement-and-decomposition/scale-prototype-to-production</t>
        </is>
      </c>
    </row>
    <row r="63">
      <c r="A63" s="6" t="n">
        <v>62</v>
      </c>
      <c r="B63" s="6" t="inlineStr">
        <is>
          <t>Decomposition prompt</t>
        </is>
      </c>
      <c r="C63" s="6" t="inlineStr">
        <is>
          <t>— standalone</t>
        </is>
      </c>
      <c r="D63" s="6" t="inlineStr">
        <is>
          <t>Prepare on its own</t>
        </is>
      </c>
      <c r="E63" s="6" t="inlineStr">
        <is>
          <t>Build when the customer's data is poor — data-readiness judgement, not design.</t>
        </is>
      </c>
      <c r="F63" s="6" t="inlineStr">
        <is>
          <t>Build an AI System When the Customer's Data Is Poor</t>
        </is>
      </c>
      <c r="G63" s="6" t="inlineStr">
        <is>
          <t>OpenAI Applied — Problem Decomposition question bank</t>
        </is>
      </c>
      <c r="H63" s="6" t="inlineStr">
        <is>
          <t>OpenAI_Applied/Sample_Questions/OpenAI Applied_Engineer_Problem_Decomposition_Questions.md</t>
        </is>
      </c>
      <c r="I63" s="6" t="inlineStr"/>
      <c r="J63" s="6" t="inlineStr">
        <is>
          <t>Same folder: .html render of this markdown (openai_decomposition_interview_prep.html is a DIFFERENT list, rows 66-84)</t>
        </is>
      </c>
      <c r="K63" s="6" t="inlineStr">
        <is>
          <t>md + html</t>
        </is>
      </c>
      <c r="L63" s="6" t="inlineStr">
        <is>
          <t>Yes</t>
        </is>
      </c>
      <c r="M63" s="6" t="inlineStr">
        <is>
          <t>Question 18. Talking points + likely follow-up, not a full worked design.</t>
        </is>
      </c>
      <c r="N63" s="6" t="inlineStr">
        <is>
          <t>Standalone/62_Build_When_Customer_Data_Is_Poor/62_Build_When_Customer_Data_Is_Poor.md</t>
        </is>
      </c>
      <c r="O63" s="12" t="inlineStr">
        <is>
          <t>https://forward-deployed-sigma.vercel.app/modules/15-fde-case-studies/judgement-and-decomposition/build-when-customer-data-is-poor</t>
        </is>
      </c>
    </row>
    <row r="64">
      <c r="A64" s="6" t="n">
        <v>63</v>
      </c>
      <c r="B64" s="6" t="inlineStr">
        <is>
          <t>Running module case</t>
        </is>
      </c>
      <c r="C64" s="6" t="inlineStr">
        <is>
          <t>G01 Enterprise knowledge assistant (permission-aware RAG)</t>
        </is>
      </c>
      <c r="D64" s="6" t="inlineStr">
        <is>
          <t>Covered by anchor — read delta only</t>
        </is>
      </c>
      <c r="E64" s="6" t="inlineStr">
        <is>
          <t>Running case (Meridian Assist) the anchor is built on; also your STAR story. Read once for narrative, not design.</t>
        </is>
      </c>
      <c r="F64" s="6" t="inlineStr">
        <is>
          <t>Meridian Assist — enterprise RAG (fictional insurer)</t>
        </is>
      </c>
      <c r="G64" s="6" t="inlineStr">
        <is>
          <t>Handbook Module 04 — Enterprise RAG</t>
        </is>
      </c>
      <c r="H64" s="6" t="inlineStr">
        <is>
          <t>Handbook/04_Enterprise_RAG/01_Why_Enterprise_Changes_The_Problem.md</t>
        </is>
      </c>
      <c r="I64" s="6" t="inlineStr"/>
      <c r="J64" s="6" t="inlineStr">
        <is>
          <t>FDE/Star_Stories/Meridian_Assist_Enterprise_RAG/ (deep-dive + conversational guide) | Handbook/11_Telling_The_Story/stories/ (copy) | Whiteboard script 01</t>
        </is>
      </c>
      <c r="K64" s="6" t="inlineStr">
        <is>
          <t>md</t>
        </is>
      </c>
      <c r="L64" s="6" t="inlineStr">
        <is>
          <t>Yes</t>
        </is>
      </c>
      <c r="M64" s="6" t="inlineStr">
        <is>
          <t>One company threaded through the whole module; also told as a STAR story.</t>
        </is>
      </c>
      <c r="N64" s="6" t="inlineStr">
        <is>
          <t>G01_Enterprise_Knowledge_Assistant/</t>
        </is>
      </c>
      <c r="O64" s="12" t="inlineStr">
        <is>
          <t>https://forward-deployed-sigma.vercel.app/modules/15-fde-case-studies/knowledge-retrieval/enterprise-knowledge-assistant</t>
        </is>
      </c>
    </row>
    <row r="65">
      <c r="A65" s="6" t="n">
        <v>64</v>
      </c>
      <c r="B65" s="6" t="inlineStr">
        <is>
          <t>Running module case</t>
        </is>
      </c>
      <c r="C65" s="6" t="inlineStr">
        <is>
          <t>G15 Agent platform for non-technical users</t>
        </is>
      </c>
      <c r="D65" s="6" t="inlineStr">
        <is>
          <t>Covered by anchor — read delta only</t>
        </is>
      </c>
      <c r="E65" s="6" t="inlineStr">
        <is>
          <t>Module 05 running case (Cascade Robotics) + code project. Same design in prose.</t>
        </is>
      </c>
      <c r="F65" s="6" t="inlineStr">
        <is>
          <t>Cascade Robotics — agentic workflow platform</t>
        </is>
      </c>
      <c r="G65" s="6" t="inlineStr">
        <is>
          <t>Handbook Module 05 — Agentic Workflow Platforms</t>
        </is>
      </c>
      <c r="H65" s="6" t="inlineStr">
        <is>
          <t>Handbook/05_Agentic_Workflow_Platforms/01_The_Problem_In_Plain_English.md</t>
        </is>
      </c>
      <c r="I65" s="6" t="inlineStr"/>
      <c r="J65" s="6" t="inlineStr">
        <is>
          <t>Handbook/05_Agentic_Workflow_Platforms/project/data/case_study.json (runnable fixture) | Whiteboard script 03</t>
        </is>
      </c>
      <c r="K65" s="6" t="inlineStr">
        <is>
          <t>md + json fixture + code project</t>
        </is>
      </c>
      <c r="L65" s="6" t="inlineStr">
        <is>
          <t>Yes</t>
        </is>
      </c>
      <c r="M65" s="6" t="inlineStr"/>
      <c r="N65" s="6" t="inlineStr">
        <is>
          <t>G15_Agent_Platform_For_Non_Technical_Users/</t>
        </is>
      </c>
      <c r="O65" s="12" t="inlineStr">
        <is>
          <t>https://forward-deployed-sigma.vercel.app/modules/15-fde-case-studies/platforms-and-scale/agent-platform-for-non-technical-users</t>
        </is>
      </c>
    </row>
    <row r="66">
      <c r="A66" s="6" t="n">
        <v>65</v>
      </c>
      <c r="B66" s="6" t="inlineStr">
        <is>
          <t>Running module case</t>
        </is>
      </c>
      <c r="C66" s="6" t="inlineStr">
        <is>
          <t>G12 Delivery framework: scoping doc to deployed agent in two weeks</t>
        </is>
      </c>
      <c r="D66" s="6" t="inlineStr">
        <is>
          <t>Covered by anchor — read delta only</t>
        </is>
      </c>
      <c r="E66" s="6" t="inlineStr">
        <is>
          <t>Module 10 running case + the AI_Engineer interview script and code project. Same content in prose form.</t>
        </is>
      </c>
      <c r="F66" s="6" t="inlineStr">
        <is>
          <t>Northwind Logistics — Tier-1 support triage agent, scoping to production in two weeks</t>
        </is>
      </c>
      <c r="G66" s="6" t="inlineStr">
        <is>
          <t>Handbook Module 10 — FDE Delivery Operating Model</t>
        </is>
      </c>
      <c r="H66" s="6" t="inlineStr">
        <is>
          <t>Handbook/10_FDE_Delivery_Operating_Model/03_Scoping_To_Production_In_Two_Weeks.md</t>
        </is>
      </c>
      <c r="I66" s="6" t="inlineStr"/>
      <c r="J66" s="6" t="inlineStr">
        <is>
          <t>Handbook/10_FDE_Delivery_Operating_Model/project/data/case_study.json | AI_Engineer/Delivery Framework from Scoping to Delivery/INTERVIEW_SCRIPT.md (+ data/case_study.json) | Whiteboard script 04</t>
        </is>
      </c>
      <c r="K66" s="6" t="inlineStr">
        <is>
          <t>md + json fixture + code project</t>
        </is>
      </c>
      <c r="L66" s="6" t="inlineStr">
        <is>
          <t>Yes</t>
        </is>
      </c>
      <c r="M66" s="6" t="inlineStr"/>
      <c r="N66" s="6" t="inlineStr">
        <is>
          <t>G12_Scoping_To_Deployed_Agent/</t>
        </is>
      </c>
      <c r="O66" s="12" t="inlineStr">
        <is>
          <t>https://forward-deployed-sigma.vercel.app/modules/15-fde-case-studies/delivery-evaluation-operations/scoping-to-deployed-agent</t>
        </is>
      </c>
    </row>
    <row r="67">
      <c r="A67" s="6" t="n">
        <v>66</v>
      </c>
      <c r="B67" s="6" t="inlineStr">
        <is>
          <t>Reported prompt</t>
        </is>
      </c>
      <c r="C67" s="6" t="inlineStr">
        <is>
          <t>G17 Logistics exception handling / shipment rerouting agent</t>
        </is>
      </c>
      <c r="D67" s="6" t="inlineStr">
        <is>
          <t>Covered by anchor — read delta only</t>
        </is>
      </c>
      <c r="E67" s="6" t="inlineStr">
        <is>
          <t>Reported OpenAI FDE prompt: rerouting over SAP + weather + 500 warehouse managers. Delta: name the evaluation plan unprompted and the stakeholder surface (regional systems).</t>
        </is>
      </c>
      <c r="F67" s="6" t="inlineStr">
        <is>
          <t>Logistics shipment-rerouting agent (SAP data, weather APIs, 500 warehouse managers): build it and evaluate it</t>
        </is>
      </c>
      <c r="G67" s="6" t="inlineStr">
        <is>
          <t>OpenAI Applied — 19 reported prompts (decomposition interview prep HTML, Tier 1)</t>
        </is>
      </c>
      <c r="H67" s="6" t="inlineStr">
        <is>
          <t>OpenAI_Applied/Sample_Questions/openai_decomposition_interview_prep.html</t>
        </is>
      </c>
      <c r="I67" s="6" t="inlineStr"/>
      <c r="J67" s="6" t="inlineStr">
        <is>
          <t>Framework for all 19: section 4 of the same HTML ('The Framework That Wins the Round'); Tier 2 probes in section 3</t>
        </is>
      </c>
      <c r="K67" s="6" t="inlineStr">
        <is>
          <t>html</t>
        </is>
      </c>
      <c r="L67" s="6" t="inlineStr">
        <is>
          <t>Yes</t>
        </is>
      </c>
      <c r="M67" s="6" t="inlineStr">
        <is>
          <t>Tier 1 prompt 1 · reported at OpenAI FDE · tests: multi-system data unification, stakeholder surface area, evaluation as first-class. Pattern: business goal first, data second, model last.</t>
        </is>
      </c>
      <c r="N67" s="6" t="inlineStr">
        <is>
          <t>G17_Logistics_Exception_Handling/</t>
        </is>
      </c>
      <c r="O67" s="12" t="inlineStr">
        <is>
          <t>https://forward-deployed-sigma.vercel.app/modules/15-fde-case-studies/agents-that-act/logistics-exception-handling</t>
        </is>
      </c>
    </row>
    <row r="68">
      <c r="A68" s="6" t="n">
        <v>67</v>
      </c>
      <c r="B68" s="6" t="inlineStr">
        <is>
          <t>Reported prompt</t>
        </is>
      </c>
      <c r="C68" s="6" t="inlineStr">
        <is>
          <t>— standalone</t>
        </is>
      </c>
      <c r="D68" s="6" t="inlineStr">
        <is>
          <t>Prepare on its own</t>
        </is>
      </c>
      <c r="E68" s="6" t="inlineStr">
        <is>
          <t>911 response times — decomposition classic. Shares the method (mission → inputs → sequencing by risk) with #68/#69, not the case. Prepare the framework once, the domain separately.</t>
        </is>
      </c>
      <c r="F68" s="6" t="inlineStr">
        <is>
          <t>City 911 emergency response times (call data, traffic sensors, ambulance GPS): 60 minutes, go</t>
        </is>
      </c>
      <c r="G68" s="6" t="inlineStr">
        <is>
          <t>OpenAI Applied — 19 reported prompts (decomposition interview prep HTML, Tier 1)</t>
        </is>
      </c>
      <c r="H68" s="6" t="inlineStr">
        <is>
          <t>OpenAI_Applied/Sample_Questions/openai_decomposition_interview_prep.html</t>
        </is>
      </c>
      <c r="I68" s="6" t="inlineStr"/>
      <c r="J68" s="6" t="inlineStr">
        <is>
          <t>Framework for all 19: section 4 of the same HTML ('The Framework That Wins the Round'); Tier 2 probes in section 3</t>
        </is>
      </c>
      <c r="K68" s="6" t="inlineStr">
        <is>
          <t>html</t>
        </is>
      </c>
      <c r="L68" s="6" t="inlineStr">
        <is>
          <t>Yes</t>
        </is>
      </c>
      <c r="M68" s="6" t="inlineStr">
        <is>
          <t>Tier 1 prompt 2 · reported at Decomposition classic · tests: mission clarification (response time vs cost vs equity), input mapping, sequencing by risk. Pattern: business goal first, data second, model last.</t>
        </is>
      </c>
      <c r="N68" s="6" t="inlineStr">
        <is>
          <t>Standalone/Decomposition_Classics_67_68_69/Decomposition_Classics_67_68_69.md</t>
        </is>
      </c>
      <c r="O68" s="12" t="inlineStr">
        <is>
          <t>https://forward-deployed-sigma.vercel.app/modules/15-fde-case-studies/judgement-and-decomposition/decomposition-classics-67-68-69</t>
        </is>
      </c>
    </row>
    <row r="69">
      <c r="A69" s="6" t="n">
        <v>68</v>
      </c>
      <c r="B69" s="6" t="inlineStr">
        <is>
          <t>Reported prompt</t>
        </is>
      </c>
      <c r="C69" s="6" t="inlineStr">
        <is>
          <t>— standalone</t>
        </is>
      </c>
      <c r="D69" s="6" t="inlineStr">
        <is>
          <t>Prepare on its own</t>
        </is>
      </c>
      <c r="E69" s="6" t="inlineStr">
        <is>
          <t>Bank fraud unification after M&amp;A — decomposition classic; 90-day scoping with poor labels. Method shared with #67/#69; overlaps #62 poor data.</t>
        </is>
      </c>
      <c r="F69" s="6" t="inlineStr">
        <is>
          <t>Regional bank: unify fraud detection across three M&amp;A legacy systems, inconsistent labels: scope the first 90 days</t>
        </is>
      </c>
      <c r="G69" s="6" t="inlineStr">
        <is>
          <t>OpenAI Applied — 19 reported prompts (decomposition interview prep HTML, Tier 1)</t>
        </is>
      </c>
      <c r="H69" s="6" t="inlineStr">
        <is>
          <t>OpenAI_Applied/Sample_Questions/openai_decomposition_interview_prep.html</t>
        </is>
      </c>
      <c r="I69" s="6" t="inlineStr"/>
      <c r="J69" s="6" t="inlineStr">
        <is>
          <t>Framework for all 19: section 4 of the same HTML ('The Framework That Wins the Round'); Tier 2 probes in section 3</t>
        </is>
      </c>
      <c r="K69" s="6" t="inlineStr">
        <is>
          <t>html</t>
        </is>
      </c>
      <c r="L69" s="6" t="inlineStr">
        <is>
          <t>Yes</t>
        </is>
      </c>
      <c r="M69" s="6" t="inlineStr">
        <is>
          <t>Tier 1 prompt 3 · reported at Decomposition classic · tests: data-quality realism, phased scoping, regulatory constraints. Pattern: business goal first, data second, model last.</t>
        </is>
      </c>
      <c r="N69" s="6" t="inlineStr">
        <is>
          <t>Standalone/Decomposition_Classics_67_68_69/Decomposition_Classics_67_68_69.md</t>
        </is>
      </c>
      <c r="O69" s="12" t="inlineStr">
        <is>
          <t>https://forward-deployed-sigma.vercel.app/modules/15-fde-case-studies/judgement-and-decomposition/decomposition-classics-67-68-69</t>
        </is>
      </c>
    </row>
    <row r="70">
      <c r="A70" s="6" t="n">
        <v>69</v>
      </c>
      <c r="B70" s="6" t="inlineStr">
        <is>
          <t>Reported prompt</t>
        </is>
      </c>
      <c r="C70" s="6" t="inlineStr">
        <is>
          <t>— standalone</t>
        </is>
      </c>
      <c r="D70" s="6" t="inlineStr">
        <is>
          <t>Prepare on its own</t>
        </is>
      </c>
      <c r="E70" s="6" t="inlineStr">
        <is>
          <t>Hospital medication errors — decomposition classic; HITL and safety-first. Method shared with #67/#68.</t>
        </is>
      </c>
      <c r="F70" s="6" t="inlineStr">
        <is>
          <t>Hospital network: reduce post-surgery medication errors (records, dispensing logs, nurse schedules): where do you start</t>
        </is>
      </c>
      <c r="G70" s="6" t="inlineStr">
        <is>
          <t>OpenAI Applied — 19 reported prompts (decomposition interview prep HTML, Tier 1)</t>
        </is>
      </c>
      <c r="H70" s="6" t="inlineStr">
        <is>
          <t>OpenAI_Applied/Sample_Questions/openai_decomposition_interview_prep.html</t>
        </is>
      </c>
      <c r="I70" s="6" t="inlineStr"/>
      <c r="J70" s="6" t="inlineStr">
        <is>
          <t>Framework for all 19: section 4 of the same HTML ('The Framework That Wins the Round'); Tier 2 probes in section 3</t>
        </is>
      </c>
      <c r="K70" s="6" t="inlineStr">
        <is>
          <t>html</t>
        </is>
      </c>
      <c r="L70" s="6" t="inlineStr">
        <is>
          <t>Yes</t>
        </is>
      </c>
      <c r="M70" s="6" t="inlineStr">
        <is>
          <t>Tier 1 prompt 4 · reported at Decomposition classic · tests: high-stakes HITL design, safety-first decomposition. Pattern: business goal first, data second, model last.</t>
        </is>
      </c>
      <c r="N70" s="6" t="inlineStr">
        <is>
          <t>Standalone/Decomposition_Classics_67_68_69/Decomposition_Classics_67_68_69.md</t>
        </is>
      </c>
      <c r="O70" s="12" t="inlineStr">
        <is>
          <t>https://forward-deployed-sigma.vercel.app/modules/15-fde-case-studies/judgement-and-decomposition/decomposition-classics-67-68-69</t>
        </is>
      </c>
    </row>
    <row r="71">
      <c r="A71" s="6" t="n">
        <v>70</v>
      </c>
      <c r="B71" s="6" t="inlineStr">
        <is>
          <t>Reported prompt</t>
        </is>
      </c>
      <c r="C71" s="6" t="inlineStr">
        <is>
          <t>G01 Enterprise knowledge assistant (permission-aware RAG)</t>
        </is>
      </c>
      <c r="D71" s="10" t="inlineStr">
        <is>
          <t>Same system, cost/latency question — 10-min add-on</t>
        </is>
      </c>
      <c r="E71" s="6" t="inlineStr">
        <is>
          <t>Latency angle: 1.5 s naive RAG to sub-100 ms. Decompose the budget: cache embeddings and retrieval, pre-filter, skip rerank on cache hits, small model, stream. Say what 100 ms rules out (any LLM generation on the hot path).</t>
        </is>
      </c>
      <c r="F71" s="6" t="inlineStr">
        <is>
          <t>Sub-100 ms LLM-powered search when the naive RAG flow is 1.5 s: walk me to 100 ms</t>
        </is>
      </c>
      <c r="G71" s="6" t="inlineStr">
        <is>
          <t>OpenAI Applied — 19 reported prompts (decomposition interview prep HTML, Tier 1)</t>
        </is>
      </c>
      <c r="H71" s="6" t="inlineStr">
        <is>
          <t>OpenAI_Applied/Sample_Questions/openai_decomposition_interview_prep.html</t>
        </is>
      </c>
      <c r="I71" s="6" t="inlineStr"/>
      <c r="J71" s="6" t="inlineStr">
        <is>
          <t>Framework for all 19: section 4 of the same HTML ('The Framework That Wins the Round'); Tier 2 probes in section 3</t>
        </is>
      </c>
      <c r="K71" s="6" t="inlineStr">
        <is>
          <t>html</t>
        </is>
      </c>
      <c r="L71" s="6" t="inlineStr">
        <is>
          <t>Yes</t>
        </is>
      </c>
      <c r="M71" s="6" t="inlineStr">
        <is>
          <t>Tier 1 prompt 5 · reported at OpenAI perf · tests: latency budget decomposition across retrieval, generation and network. Pattern: business goal first, data second, model last.</t>
        </is>
      </c>
      <c r="N71" s="6" t="inlineStr">
        <is>
          <t>G01_Enterprise_Knowledge_Assistant/</t>
        </is>
      </c>
      <c r="O71" s="12" t="inlineStr">
        <is>
          <t>https://forward-deployed-sigma.vercel.app/modules/15-fde-case-studies/knowledge-retrieval/enterprise-knowledge-assistant</t>
        </is>
      </c>
    </row>
    <row r="72">
      <c r="A72" s="8" t="n">
        <v>71</v>
      </c>
      <c r="B72" s="8" t="inlineStr">
        <is>
          <t>Reported prompt</t>
        </is>
      </c>
      <c r="C72" s="8" t="inlineStr">
        <is>
          <t>G18 Consumer-scale chat service</t>
        </is>
      </c>
      <c r="D72" s="9" t="inlineStr">
        <is>
          <t>ANCHOR — prepare this</t>
        </is>
      </c>
      <c r="E72" s="8" t="inlineStr">
        <is>
          <t>Anchor by default: no worked design in the repo. Build the outline from the HTML's framework section plus G14 observability and the cost drivers.</t>
        </is>
      </c>
      <c r="F72" s="8" t="inlineStr">
        <is>
          <t>Design ChatGPT</t>
        </is>
      </c>
      <c r="G72" s="6" t="inlineStr">
        <is>
          <t>OpenAI Applied — 19 reported prompts (decomposition interview prep HTML, Tier 1)</t>
        </is>
      </c>
      <c r="H72" s="6" t="inlineStr">
        <is>
          <t>OpenAI_Applied/Sample_Questions/openai_decomposition_interview_prep.html</t>
        </is>
      </c>
      <c r="I72" s="6" t="inlineStr"/>
      <c r="J72" s="6" t="inlineStr">
        <is>
          <t>Framework for all 19: section 4 of the same HTML ('The Framework That Wins the Round'); Tier 2 probes in section 3</t>
        </is>
      </c>
      <c r="K72" s="6" t="inlineStr">
        <is>
          <t>html</t>
        </is>
      </c>
      <c r="L72" s="6" t="inlineStr">
        <is>
          <t>Yes</t>
        </is>
      </c>
      <c r="M72" s="6" t="inlineStr">
        <is>
          <t>Tier 1 prompt 6 · reported at OpenAI · tests: consumer-scale chat service design. Pattern: business goal first, data second, model last.</t>
        </is>
      </c>
      <c r="N72" s="6" t="inlineStr">
        <is>
          <t>G18_Consumer_Scale_Chat_Service/</t>
        </is>
      </c>
      <c r="O72" s="12" t="inlineStr">
        <is>
          <t>https://forward-deployed-sigma.vercel.app/modules/15-fde-case-studies/platforms-and-scale/consumer-scale-chat-service</t>
        </is>
      </c>
    </row>
    <row r="73">
      <c r="A73" s="6" t="n">
        <v>72</v>
      </c>
      <c r="B73" s="6" t="inlineStr">
        <is>
          <t>Reported prompt</t>
        </is>
      </c>
      <c r="C73" s="6" t="inlineStr">
        <is>
          <t>G01 Enterprise knowledge assistant (permission-aware RAG)</t>
        </is>
      </c>
      <c r="D73" s="6" t="inlineStr">
        <is>
          <t>Covered by anchor — read delta only</t>
        </is>
      </c>
      <c r="E73" s="6" t="inlineStr">
        <is>
          <t>Reported OpenAI prompt: 'LLM-powered enterprise search'. The anchor is the answer.</t>
        </is>
      </c>
      <c r="F73" s="6" t="inlineStr">
        <is>
          <t>Design an AI chatbot / an LLM-powered enterprise search system</t>
        </is>
      </c>
      <c r="G73" s="6" t="inlineStr">
        <is>
          <t>OpenAI Applied — 19 reported prompts (decomposition interview prep HTML, Tier 1)</t>
        </is>
      </c>
      <c r="H73" s="6" t="inlineStr">
        <is>
          <t>OpenAI_Applied/Sample_Questions/openai_decomposition_interview_prep.html</t>
        </is>
      </c>
      <c r="I73" s="6" t="inlineStr"/>
      <c r="J73" s="6" t="inlineStr">
        <is>
          <t>Framework for all 19: section 4 of the same HTML ('The Framework That Wins the Round'); Tier 2 probes in section 3</t>
        </is>
      </c>
      <c r="K73" s="6" t="inlineStr">
        <is>
          <t>html</t>
        </is>
      </c>
      <c r="L73" s="6" t="inlineStr">
        <is>
          <t>Yes</t>
        </is>
      </c>
      <c r="M73" s="6" t="inlineStr">
        <is>
          <t>Tier 1 prompt 7 · reported at OpenAI · tests: enterprise search design. Pattern: business goal first, data second, model last.</t>
        </is>
      </c>
      <c r="N73" s="6" t="inlineStr">
        <is>
          <t>G01_Enterprise_Knowledge_Assistant/</t>
        </is>
      </c>
      <c r="O73" s="12" t="inlineStr">
        <is>
          <t>https://forward-deployed-sigma.vercel.app/modules/15-fde-case-studies/knowledge-retrieval/enterprise-knowledge-assistant</t>
        </is>
      </c>
    </row>
    <row r="74">
      <c r="A74" s="6" t="n">
        <v>73</v>
      </c>
      <c r="B74" s="6" t="inlineStr">
        <is>
          <t>Reported prompt</t>
        </is>
      </c>
      <c r="C74" s="6" t="inlineStr">
        <is>
          <t>G19 Model development and post-training</t>
        </is>
      </c>
      <c r="D74" s="6" t="inlineStr">
        <is>
          <t>Covered by anchor — read delta only</t>
        </is>
      </c>
      <c r="E74" s="6" t="inlineStr">
        <is>
          <t>Delta: training infrastructure under compute/data constraints (distributed training, data pipeline, checkpointing).</t>
        </is>
      </c>
      <c r="F74" s="6" t="inlineStr">
        <is>
          <t>Design a scalable, efficient system for training an LLM given compute and data constraints</t>
        </is>
      </c>
      <c r="G74" s="6" t="inlineStr">
        <is>
          <t>OpenAI Applied — 19 reported prompts (decomposition interview prep HTML, Tier 1)</t>
        </is>
      </c>
      <c r="H74" s="6" t="inlineStr">
        <is>
          <t>OpenAI_Applied/Sample_Questions/openai_decomposition_interview_prep.html</t>
        </is>
      </c>
      <c r="I74" s="6" t="inlineStr"/>
      <c r="J74" s="6" t="inlineStr">
        <is>
          <t>Framework for all 19: section 4 of the same HTML ('The Framework That Wins the Round'); Tier 2 probes in section 3</t>
        </is>
      </c>
      <c r="K74" s="6" t="inlineStr">
        <is>
          <t>html</t>
        </is>
      </c>
      <c r="L74" s="6" t="inlineStr">
        <is>
          <t>Yes</t>
        </is>
      </c>
      <c r="M74" s="6" t="inlineStr">
        <is>
          <t>Tier 1 prompt 8 · reported at OpenAI · tests: training infrastructure under constraints. Pattern: business goal first, data second, model last.</t>
        </is>
      </c>
      <c r="N74" s="6" t="inlineStr">
        <is>
          <t>G19_Model_Development_And_Post_Training/</t>
        </is>
      </c>
      <c r="O74" s="12" t="inlineStr">
        <is>
          <t>https://forward-deployed-sigma.vercel.app/modules/15-fde-case-studies/model-development/model-development-and-post-training</t>
        </is>
      </c>
    </row>
    <row r="75">
      <c r="A75" s="6" t="n">
        <v>74</v>
      </c>
      <c r="B75" s="6" t="inlineStr">
        <is>
          <t>Reported prompt</t>
        </is>
      </c>
      <c r="C75" s="6" t="inlineStr">
        <is>
          <t>G20 LLM inference serving infrastructure</t>
        </is>
      </c>
      <c r="D75" s="6" t="inlineStr">
        <is>
          <t>Covered by anchor — read delta only</t>
        </is>
      </c>
      <c r="E75" s="6" t="inlineStr">
        <is>
          <t>Delta: latency diagnosis walk (tokenization → network → batch → KV cache → post-processing). Also listed under G14.</t>
        </is>
      </c>
      <c r="F75" s="6" t="inlineStr">
        <is>
          <t>Diagnose high latency in an LLM inference pipeline (tokenization → network → batch size → KV cache → post-processing)</t>
        </is>
      </c>
      <c r="G75" s="6" t="inlineStr">
        <is>
          <t>OpenAI Applied — 19 reported prompts (decomposition interview prep HTML, Tier 1)</t>
        </is>
      </c>
      <c r="H75" s="6" t="inlineStr">
        <is>
          <t>OpenAI_Applied/Sample_Questions/openai_decomposition_interview_prep.html</t>
        </is>
      </c>
      <c r="I75" s="6" t="inlineStr"/>
      <c r="J75" s="6" t="inlineStr">
        <is>
          <t>Framework for all 19: section 4 of the same HTML ('The Framework That Wins the Round'); Tier 2 probes in section 3</t>
        </is>
      </c>
      <c r="K75" s="6" t="inlineStr">
        <is>
          <t>html</t>
        </is>
      </c>
      <c r="L75" s="6" t="inlineStr">
        <is>
          <t>Yes</t>
        </is>
      </c>
      <c r="M75" s="6" t="inlineStr">
        <is>
          <t>Tier 1 prompt 9 · reported at OpenAI favorite · tests: full-stack inference latency reasoning. Pattern: business goal first, data second, model last.</t>
        </is>
      </c>
      <c r="N75" s="6" t="inlineStr">
        <is>
          <t>G20_LLM_Inference_Serving/</t>
        </is>
      </c>
      <c r="O75" s="12" t="inlineStr">
        <is>
          <t>https://forward-deployed-sigma.vercel.app/modules/15-fde-case-studies/platforms-and-scale/llm-inference-serving</t>
        </is>
      </c>
    </row>
    <row r="76">
      <c r="A76" s="6" t="n">
        <v>75</v>
      </c>
      <c r="B76" s="6" t="inlineStr">
        <is>
          <t>Reported prompt</t>
        </is>
      </c>
      <c r="C76" s="6" t="inlineStr">
        <is>
          <t>G20 LLM inference serving infrastructure</t>
        </is>
      </c>
      <c r="D76" s="6" t="inlineStr">
        <is>
          <t>Covered by anchor — read delta only</t>
        </is>
      </c>
      <c r="E76" s="6" t="inlineStr">
        <is>
          <t>Delta: single-GPU, 100-per-batch, synchronous waiting. The anchor's intake/batching section covers it.</t>
        </is>
      </c>
      <c r="F76" s="6" t="inlineStr">
        <is>
          <t>Inference batching system: one GPU, up to 100 inputs per batch, synchronous users: intake, batching, GPU processing, response routing</t>
        </is>
      </c>
      <c r="G76" s="6" t="inlineStr">
        <is>
          <t>OpenAI Applied — 19 reported prompts (decomposition interview prep HTML, Tier 1)</t>
        </is>
      </c>
      <c r="H76" s="6" t="inlineStr">
        <is>
          <t>OpenAI_Applied/Sample_Questions/openai_decomposition_interview_prep.html</t>
        </is>
      </c>
      <c r="I76" s="6" t="inlineStr"/>
      <c r="J76" s="6" t="inlineStr">
        <is>
          <t>Framework for all 19: section 4 of the same HTML ('The Framework That Wins the Round'); Tier 2 probes in section 3</t>
        </is>
      </c>
      <c r="K76" s="6" t="inlineStr">
        <is>
          <t>html</t>
        </is>
      </c>
      <c r="L76" s="6" t="inlineStr">
        <is>
          <t>Yes</t>
        </is>
      </c>
      <c r="M76" s="6" t="inlineStr">
        <is>
          <t>Tier 1 prompt 10 · reported at Anthropic · tests: batching, queuing, synchronous waiting. Pattern: business goal first, data second, model last.</t>
        </is>
      </c>
      <c r="N76" s="6" t="inlineStr">
        <is>
          <t>G20_LLM_Inference_Serving/</t>
        </is>
      </c>
      <c r="O76" s="12" t="inlineStr">
        <is>
          <t>https://forward-deployed-sigma.vercel.app/modules/15-fde-case-studies/platforms-and-scale/llm-inference-serving</t>
        </is>
      </c>
    </row>
    <row r="77">
      <c r="A77" s="8" t="n">
        <v>76</v>
      </c>
      <c r="B77" s="8" t="inlineStr">
        <is>
          <t>Reported prompt</t>
        </is>
      </c>
      <c r="C77" s="8" t="inlineStr">
        <is>
          <t>G20 LLM inference serving infrastructure</t>
        </is>
      </c>
      <c r="D77" s="9" t="inlineStr">
        <is>
          <t>ANCHOR — prepare this</t>
        </is>
      </c>
      <c r="E77" s="8" t="inlineStr">
        <is>
          <t>Anchor by default: the end-to-end batching prompt with its follow-ups (which GPU has capacity, failover) is the superset. No worked design in the repo.</t>
        </is>
      </c>
      <c r="F77" s="8" t="inlineStr">
        <is>
          <t>End-to-end LLM batching system: intake, batching, GPU routing and load balancing, delivery. Follow-ups: which GPU has capacity, failover</t>
        </is>
      </c>
      <c r="G77" s="6" t="inlineStr">
        <is>
          <t>OpenAI Applied — 19 reported prompts (decomposition interview prep HTML, Tier 1)</t>
        </is>
      </c>
      <c r="H77" s="6" t="inlineStr">
        <is>
          <t>OpenAI_Applied/Sample_Questions/openai_decomposition_interview_prep.html</t>
        </is>
      </c>
      <c r="I77" s="6" t="inlineStr"/>
      <c r="J77" s="6" t="inlineStr">
        <is>
          <t>Framework for all 19: section 4 of the same HTML ('The Framework That Wins the Round'); Tier 2 probes in section 3</t>
        </is>
      </c>
      <c r="K77" s="6" t="inlineStr">
        <is>
          <t>html</t>
        </is>
      </c>
      <c r="L77" s="6" t="inlineStr">
        <is>
          <t>Yes</t>
        </is>
      </c>
      <c r="M77" s="6" t="inlineStr">
        <is>
          <t>Tier 1 prompt 11 · reported at Anthropic · tests: distributed-systems fundamentals: capacity discovery, failover. Pattern: business goal first, data second, model last.</t>
        </is>
      </c>
      <c r="N77" s="6" t="inlineStr">
        <is>
          <t>G20_LLM_Inference_Serving/</t>
        </is>
      </c>
      <c r="O77" s="12" t="inlineStr">
        <is>
          <t>https://forward-deployed-sigma.vercel.app/modules/15-fde-case-studies/platforms-and-scale/llm-inference-serving</t>
        </is>
      </c>
    </row>
    <row r="78">
      <c r="A78" s="6" t="n">
        <v>77</v>
      </c>
      <c r="B78" s="6" t="inlineStr">
        <is>
          <t>Reported prompt</t>
        </is>
      </c>
      <c r="C78" s="6" t="inlineStr">
        <is>
          <t>G20 LLM inference serving infrastructure</t>
        </is>
      </c>
      <c r="D78" s="6" t="inlineStr">
        <is>
          <t>Covered by anchor — read delta only</t>
        </is>
      </c>
      <c r="E78" s="6" t="inlineStr">
        <is>
          <t>Delta: 100k requests per second. Add load balancing, backpressure, admission control.</t>
        </is>
      </c>
      <c r="F78" s="6" t="inlineStr">
        <is>
          <t>Token-generation service handling up to 100,000 requests per second</t>
        </is>
      </c>
      <c r="G78" s="6" t="inlineStr">
        <is>
          <t>OpenAI Applied — 19 reported prompts (decomposition interview prep HTML, Tier 1)</t>
        </is>
      </c>
      <c r="H78" s="6" t="inlineStr">
        <is>
          <t>OpenAI_Applied/Sample_Questions/openai_decomposition_interview_prep.html</t>
        </is>
      </c>
      <c r="I78" s="6" t="inlineStr"/>
      <c r="J78" s="6" t="inlineStr">
        <is>
          <t>Framework for all 19: section 4 of the same HTML ('The Framework That Wins the Round'); Tier 2 probes in section 3</t>
        </is>
      </c>
      <c r="K78" s="6" t="inlineStr">
        <is>
          <t>html</t>
        </is>
      </c>
      <c r="L78" s="6" t="inlineStr">
        <is>
          <t>Yes</t>
        </is>
      </c>
      <c r="M78" s="6" t="inlineStr">
        <is>
          <t>Tier 1 prompt 12 · reported at Anthropic · tests: throughput, load balancing, backpressure. Pattern: business goal first, data second, model last.</t>
        </is>
      </c>
      <c r="N78" s="6" t="inlineStr">
        <is>
          <t>G20_LLM_Inference_Serving/</t>
        </is>
      </c>
      <c r="O78" s="12" t="inlineStr">
        <is>
          <t>https://forward-deployed-sigma.vercel.app/modules/15-fde-case-studies/platforms-and-scale/llm-inference-serving</t>
        </is>
      </c>
    </row>
    <row r="79">
      <c r="A79" s="6" t="n">
        <v>78</v>
      </c>
      <c r="B79" s="6" t="inlineStr">
        <is>
          <t>Reported prompt</t>
        </is>
      </c>
      <c r="C79" s="6" t="inlineStr">
        <is>
          <t>G18 Consumer-scale chat service</t>
        </is>
      </c>
      <c r="D79" s="6" t="inlineStr">
        <is>
          <t>Covered by anchor — read delta only</t>
        </is>
      </c>
      <c r="E79" s="6" t="inlineStr">
        <is>
          <t>Same prompt, Anthropic wording. Delta: none.</t>
        </is>
      </c>
      <c r="F79" s="6" t="inlineStr">
        <is>
          <t>Design the Claude chat service</t>
        </is>
      </c>
      <c r="G79" s="6" t="inlineStr">
        <is>
          <t>OpenAI Applied — 19 reported prompts (decomposition interview prep HTML, Tier 1)</t>
        </is>
      </c>
      <c r="H79" s="6" t="inlineStr">
        <is>
          <t>OpenAI_Applied/Sample_Questions/openai_decomposition_interview_prep.html</t>
        </is>
      </c>
      <c r="I79" s="6" t="inlineStr"/>
      <c r="J79" s="6" t="inlineStr">
        <is>
          <t>Framework for all 19: section 4 of the same HTML ('The Framework That Wins the Round'); Tier 2 probes in section 3</t>
        </is>
      </c>
      <c r="K79" s="6" t="inlineStr">
        <is>
          <t>html</t>
        </is>
      </c>
      <c r="L79" s="6" t="inlineStr">
        <is>
          <t>Yes</t>
        </is>
      </c>
      <c r="M79" s="6" t="inlineStr">
        <is>
          <t>Tier 1 prompt 13 · reported at Anthropic · tests: chat service architecture at scale. Pattern: business goal first, data second, model last.</t>
        </is>
      </c>
      <c r="N79" s="6" t="inlineStr">
        <is>
          <t>G18_Consumer_Scale_Chat_Service/</t>
        </is>
      </c>
      <c r="O79" s="12" t="inlineStr">
        <is>
          <t>https://forward-deployed-sigma.vercel.app/modules/15-fde-case-studies/platforms-and-scale/consumer-scale-chat-service</t>
        </is>
      </c>
    </row>
    <row r="80">
      <c r="A80" s="6" t="n">
        <v>79</v>
      </c>
      <c r="B80" s="6" t="inlineStr">
        <is>
          <t>Reported prompt</t>
        </is>
      </c>
      <c r="C80" s="6" t="inlineStr">
        <is>
          <t>G20 LLM inference serving infrastructure</t>
        </is>
      </c>
      <c r="D80" s="6" t="inlineStr">
        <is>
          <t>Covered by anchor — read delta only</t>
        </is>
      </c>
      <c r="E80" s="6" t="inlineStr">
        <is>
          <t>Delta: it is a design review, not a design. Use the anchor as the rubric to critique against.</t>
        </is>
      </c>
      <c r="F80" s="6" t="inlineStr">
        <is>
          <t>Review a junior developer's design for an inference batching system and explain what you'd change</t>
        </is>
      </c>
      <c r="G80" s="6" t="inlineStr">
        <is>
          <t>OpenAI Applied — 19 reported prompts (decomposition interview prep HTML, Tier 1)</t>
        </is>
      </c>
      <c r="H80" s="6" t="inlineStr">
        <is>
          <t>OpenAI_Applied/Sample_Questions/openai_decomposition_interview_prep.html</t>
        </is>
      </c>
      <c r="I80" s="6" t="inlineStr"/>
      <c r="J80" s="6" t="inlineStr">
        <is>
          <t>Framework for all 19: section 4 of the same HTML ('The Framework That Wins the Round'); Tier 2 probes in section 3</t>
        </is>
      </c>
      <c r="K80" s="6" t="inlineStr">
        <is>
          <t>html</t>
        </is>
      </c>
      <c r="L80" s="6" t="inlineStr">
        <is>
          <t>Yes</t>
        </is>
      </c>
      <c r="M80" s="6" t="inlineStr">
        <is>
          <t>Tier 1 prompt 14 · reported at Anthropic review · tests: design critique of batching/queuing. Pattern: business goal first, data second, model last.</t>
        </is>
      </c>
      <c r="N80" s="6" t="inlineStr">
        <is>
          <t>G20_LLM_Inference_Serving/</t>
        </is>
      </c>
      <c r="O80" s="12" t="inlineStr">
        <is>
          <t>https://forward-deployed-sigma.vercel.app/modules/15-fde-case-studies/platforms-and-scale/llm-inference-serving</t>
        </is>
      </c>
    </row>
    <row r="81">
      <c r="A81" s="6" t="n">
        <v>80</v>
      </c>
      <c r="B81" s="6" t="inlineStr">
        <is>
          <t>Reported prompt</t>
        </is>
      </c>
      <c r="C81" s="6" t="inlineStr">
        <is>
          <t>— standalone</t>
        </is>
      </c>
      <c r="D81" s="6" t="inlineStr">
        <is>
          <t>Prepare on its own</t>
        </is>
      </c>
      <c r="E81" s="6" t="inlineStr">
        <is>
          <t>Agent that adapts to new tasks — learning in agentic systems. Read Cracking ch08 (learning) and ch23 patterns; no worked case.</t>
        </is>
      </c>
      <c r="F81" s="6" t="inlineStr">
        <is>
          <t>Design an agentic AI system that can autonomously adapt to new tasks</t>
        </is>
      </c>
      <c r="G81" s="6" t="inlineStr">
        <is>
          <t>OpenAI Applied — 19 reported prompts (decomposition interview prep HTML, Tier 1)</t>
        </is>
      </c>
      <c r="H81" s="6" t="inlineStr">
        <is>
          <t>OpenAI_Applied/Sample_Questions/openai_decomposition_interview_prep.html</t>
        </is>
      </c>
      <c r="I81" s="6" t="inlineStr"/>
      <c r="J81" s="6" t="inlineStr">
        <is>
          <t>Framework for all 19: section 4 of the same HTML ('The Framework That Wins the Round'); Tier 2 probes in section 3</t>
        </is>
      </c>
      <c r="K81" s="6" t="inlineStr">
        <is>
          <t>html</t>
        </is>
      </c>
      <c r="L81" s="6" t="inlineStr">
        <is>
          <t>Yes</t>
        </is>
      </c>
      <c r="M81" s="6" t="inlineStr">
        <is>
          <t>Tier 1 prompt 15 · reported at Anthropic MLE · tests: agent learning and adaptation. Pattern: business goal first, data second, model last.</t>
        </is>
      </c>
      <c r="N81" s="6" t="inlineStr">
        <is>
          <t>Standalone/80_Self_Adapting_Agent/80_Self_Adapting_Agent.md</t>
        </is>
      </c>
      <c r="O81" s="12" t="inlineStr">
        <is>
          <t>https://forward-deployed-sigma.vercel.app/modules/15-fde-case-studies/standalone-designs/self-adapting-agent</t>
        </is>
      </c>
    </row>
    <row r="82">
      <c r="A82" s="6" t="n">
        <v>81</v>
      </c>
      <c r="B82" s="6" t="inlineStr">
        <is>
          <t>Reported prompt</t>
        </is>
      </c>
      <c r="C82" s="6" t="inlineStr">
        <is>
          <t>G19 Model development and post-training</t>
        </is>
      </c>
      <c r="D82" s="6" t="inlineStr">
        <is>
          <t>Covered by anchor — read delta only</t>
        </is>
      </c>
      <c r="E82" s="6" t="inlineStr">
        <is>
          <t>Delta: harm minimisation vs usefulness (RLHF/DPO, refusal calibration, evals for over-refusal).</t>
        </is>
      </c>
      <c r="F82" s="6" t="inlineStr">
        <is>
          <t>Design a language model that minimizes harmful outputs while staying useful</t>
        </is>
      </c>
      <c r="G82" s="6" t="inlineStr">
        <is>
          <t>OpenAI Applied — 19 reported prompts (decomposition interview prep HTML, Tier 1)</t>
        </is>
      </c>
      <c r="H82" s="6" t="inlineStr">
        <is>
          <t>OpenAI_Applied/Sample_Questions/openai_decomposition_interview_prep.html</t>
        </is>
      </c>
      <c r="I82" s="6" t="inlineStr"/>
      <c r="J82" s="6" t="inlineStr">
        <is>
          <t>Framework for all 19: section 4 of the same HTML ('The Framework That Wins the Round'); Tier 2 probes in section 3</t>
        </is>
      </c>
      <c r="K82" s="6" t="inlineStr">
        <is>
          <t>html</t>
        </is>
      </c>
      <c r="L82" s="6" t="inlineStr">
        <is>
          <t>Yes</t>
        </is>
      </c>
      <c r="M82" s="6" t="inlineStr">
        <is>
          <t>Tier 1 prompt 16 · reported at Anthropic · tests: alignment / post-training trade-off. Pattern: business goal first, data second, model last.</t>
        </is>
      </c>
      <c r="N82" s="6" t="inlineStr">
        <is>
          <t>G19_Model_Development_And_Post_Training/</t>
        </is>
      </c>
      <c r="O82" s="12" t="inlineStr">
        <is>
          <t>https://forward-deployed-sigma.vercel.app/modules/15-fde-case-studies/model-development/model-development-and-post-training</t>
        </is>
      </c>
    </row>
    <row r="83">
      <c r="A83" s="6" t="n">
        <v>82</v>
      </c>
      <c r="B83" s="6" t="inlineStr">
        <is>
          <t>Reported prompt</t>
        </is>
      </c>
      <c r="C83" s="6" t="inlineStr">
        <is>
          <t>G03 Tool-using agent acting across enterprise systems</t>
        </is>
      </c>
      <c r="D83" s="6" t="inlineStr">
        <is>
          <t>Covered by anchor — read delta only</t>
        </is>
      </c>
      <c r="E83" s="6" t="inlineStr">
        <is>
          <t>Reported Salesforce prompt: loop, tools, memory, orchestration, safety. The anchor plus #1's layering section covers it.</t>
        </is>
      </c>
      <c r="F83" s="6" t="inlineStr">
        <is>
          <t>Architect an AI agent system: agent loop, tool interfaces, memory design, orchestration, safety</t>
        </is>
      </c>
      <c r="G83" s="6" t="inlineStr">
        <is>
          <t>OpenAI Applied — 19 reported prompts (decomposition interview prep HTML, Tier 1)</t>
        </is>
      </c>
      <c r="H83" s="6" t="inlineStr">
        <is>
          <t>OpenAI_Applied/Sample_Questions/openai_decomposition_interview_prep.html</t>
        </is>
      </c>
      <c r="I83" s="6" t="inlineStr"/>
      <c r="J83" s="6" t="inlineStr">
        <is>
          <t>Framework for all 19: section 4 of the same HTML ('The Framework That Wins the Round'); Tier 2 probes in section 3</t>
        </is>
      </c>
      <c r="K83" s="6" t="inlineStr">
        <is>
          <t>html</t>
        </is>
      </c>
      <c r="L83" s="6" t="inlineStr">
        <is>
          <t>Yes</t>
        </is>
      </c>
      <c r="M83" s="6" t="inlineStr">
        <is>
          <t>Tier 1 prompt 17 · reported at Salesforce · tests: agent architecture end to end. Pattern: business goal first, data second, model last.</t>
        </is>
      </c>
      <c r="N83" s="6" t="inlineStr">
        <is>
          <t>G03_Tool_Using_Agent_With_Safety_Controls/</t>
        </is>
      </c>
      <c r="O83" s="12" t="inlineStr">
        <is>
          <t>https://forward-deployed-sigma.vercel.app/modules/15-fde-case-studies/agents-that-act/tool-using-agent-with-safety-controls</t>
        </is>
      </c>
    </row>
    <row r="84">
      <c r="A84" s="6" t="n">
        <v>83</v>
      </c>
      <c r="B84" s="6" t="inlineStr">
        <is>
          <t>Reported prompt</t>
        </is>
      </c>
      <c r="C84" s="6" t="inlineStr">
        <is>
          <t>G19 Model development and post-training</t>
        </is>
      </c>
      <c r="D84" s="6" t="inlineStr">
        <is>
          <t>Covered by anchor — read delta only</t>
        </is>
      </c>
      <c r="E84" s="6" t="inlineStr">
        <is>
          <t>Delta: on-device constraints (distillation, quantisation) plus politeness as an alignment target.</t>
        </is>
      </c>
      <c r="F84" s="6" t="inlineStr">
        <is>
          <t>Design a small LLM that runs on a phone while staying polite</t>
        </is>
      </c>
      <c r="G84" s="6" t="inlineStr">
        <is>
          <t>OpenAI Applied — 19 reported prompts (decomposition interview prep HTML, Tier 1)</t>
        </is>
      </c>
      <c r="H84" s="6" t="inlineStr">
        <is>
          <t>OpenAI_Applied/Sample_Questions/openai_decomposition_interview_prep.html</t>
        </is>
      </c>
      <c r="I84" s="6" t="inlineStr"/>
      <c r="J84" s="6" t="inlineStr">
        <is>
          <t>Framework for all 19: section 4 of the same HTML ('The Framework That Wins the Round'); Tier 2 probes in section 3</t>
        </is>
      </c>
      <c r="K84" s="6" t="inlineStr">
        <is>
          <t>html</t>
        </is>
      </c>
      <c r="L84" s="6" t="inlineStr">
        <is>
          <t>Yes</t>
        </is>
      </c>
      <c r="M84" s="6" t="inlineStr">
        <is>
          <t>Tier 1 prompt 18 · reported at Google · tests: on-device model constraints + alignment. Pattern: business goal first, data second, model last.</t>
        </is>
      </c>
      <c r="N84" s="6" t="inlineStr">
        <is>
          <t>G19_Model_Development_And_Post_Training/</t>
        </is>
      </c>
      <c r="O84" s="12" t="inlineStr">
        <is>
          <t>https://forward-deployed-sigma.vercel.app/modules/15-fde-case-studies/model-development/model-development-and-post-training</t>
        </is>
      </c>
    </row>
    <row r="85">
      <c r="A85" s="8" t="n">
        <v>84</v>
      </c>
      <c r="B85" s="8" t="inlineStr">
        <is>
          <t>Reported prompt</t>
        </is>
      </c>
      <c r="C85" s="8" t="inlineStr">
        <is>
          <t>G19 Model development and post-training</t>
        </is>
      </c>
      <c r="D85" s="9" t="inlineStr">
        <is>
          <t>ANCHOR — prepare this</t>
        </is>
      </c>
      <c r="E85" s="8" t="inlineStr">
        <is>
          <t>Anchor by default: the Cohere prompt names the whole pipeline. Repo material: Foundations phase fine-tuning notes (RLHF/DPO/LoRA).</t>
        </is>
      </c>
      <c r="F85" s="8" t="inlineStr">
        <is>
          <t>Design a model that solves math problems: data collection, SFT, post-training, eval</t>
        </is>
      </c>
      <c r="G85" s="6" t="inlineStr">
        <is>
          <t>OpenAI Applied — 19 reported prompts (decomposition interview prep HTML, Tier 1)</t>
        </is>
      </c>
      <c r="H85" s="6" t="inlineStr">
        <is>
          <t>OpenAI_Applied/Sample_Questions/openai_decomposition_interview_prep.html</t>
        </is>
      </c>
      <c r="I85" s="6" t="inlineStr"/>
      <c r="J85" s="6" t="inlineStr">
        <is>
          <t>Framework for all 19: section 4 of the same HTML ('The Framework That Wins the Round'); Tier 2 probes in section 3</t>
        </is>
      </c>
      <c r="K85" s="6" t="inlineStr">
        <is>
          <t>html</t>
        </is>
      </c>
      <c r="L85" s="6" t="inlineStr">
        <is>
          <t>Yes</t>
        </is>
      </c>
      <c r="M85" s="6" t="inlineStr">
        <is>
          <t>Tier 1 prompt 19 · reported at Cohere · tests: model development pipeline. Pattern: business goal first, data second, model last.</t>
        </is>
      </c>
      <c r="N85" s="6" t="inlineStr">
        <is>
          <t>G19_Model_Development_And_Post_Training/</t>
        </is>
      </c>
      <c r="O85" s="12" t="inlineStr">
        <is>
          <t>https://forward-deployed-sigma.vercel.app/modules/15-fde-case-studies/model-development/model-development-and-post-training</t>
        </is>
      </c>
    </row>
    <row r="86">
      <c r="A86" s="6" t="n">
        <v>85</v>
      </c>
      <c r="B86" s="6" t="inlineStr">
        <is>
          <t>Incident scenario</t>
        </is>
      </c>
      <c r="C86" s="6" t="inlineStr">
        <is>
          <t>G07 Secure multi-tenant AI platform</t>
        </is>
      </c>
      <c r="D86" s="6" t="inlineStr">
        <is>
          <t>Covered by anchor — read delta only</t>
        </is>
      </c>
      <c r="E86" s="6" t="inlineStr">
        <is>
          <t>Incident: cross-tenant leak via a missing metadata filter. The anchor's tenant predicate is the fix; rehearse detect → contain → root-cause → prevent.</t>
        </is>
      </c>
      <c r="F86" s="6" t="inlineStr">
        <is>
          <t>Cross-tenant retrieval leak through a missing metadata filter (multi-tenant support copilot)</t>
        </is>
      </c>
      <c r="G86" s="6" t="inlineStr">
        <is>
          <t>Complete GEN AI FDE Interview System — Module 05 production incident logs</t>
        </is>
      </c>
      <c r="H86" s="6" t="inlineStr">
        <is>
          <t>FDE/Complete GEN AI FDE Interview System — Core + GenAI/05_PRODUCTION_DEBUGGING_OBSERVABILITY_AND_OPTIMIZATION/04_PRODUCTION_INCIDENT_LOGS/01_cross_tenant_retrieval.md</t>
        </is>
      </c>
      <c r="I86" s="6" t="inlineStr"/>
      <c r="J86" s="6" t="inlineStr">
        <is>
          <t>FDE/Complete GEN AI FDE Interview System — Core + GenAI/05_PRODUCTION_DEBUGGING_OBSERVABILITY_AND_OPTIMIZATION/04_PRODUCTION_INCIDENT_LOGS/00_ALL_UPGRADED_INCIDENTS_COMBINED.md (all ten in one file)</t>
        </is>
      </c>
      <c r="K86" s="6" t="inlineStr">
        <is>
          <t>md (scenario, timeline, root cause, fix, prevention)</t>
        </is>
      </c>
      <c r="L86" s="6" t="inlineStr">
        <is>
          <t>Yes</t>
        </is>
      </c>
      <c r="M86" s="6" t="inlineStr">
        <is>
          <t>Debugging case, not a design case: answer with detect → contain → root-cause → prevent, on the design of the group's anchor.</t>
        </is>
      </c>
      <c r="N86" s="6" t="inlineStr">
        <is>
          <t>G07_Secure_Multi_Tenant_AI_Platform/</t>
        </is>
      </c>
      <c r="O86" s="12" t="inlineStr">
        <is>
          <t>https://forward-deployed-sigma.vercel.app/modules/15-fde-case-studies/platforms-and-scale/secure-multi-tenant-ai-platform</t>
        </is>
      </c>
    </row>
    <row r="87">
      <c r="A87" s="6" t="n">
        <v>86</v>
      </c>
      <c r="B87" s="6" t="inlineStr">
        <is>
          <t>Incident scenario</t>
        </is>
      </c>
      <c r="C87" s="6" t="inlineStr">
        <is>
          <t>G01 Enterprise knowledge assistant (permission-aware RAG)</t>
        </is>
      </c>
      <c r="D87" s="6" t="inlineStr">
        <is>
          <t>Covered by anchor — read delta only</t>
        </is>
      </c>
      <c r="E87" s="6" t="inlineStr">
        <is>
          <t>Incident: stale index gives a wrong policy answer. The anchor's missed-deletion failure path and reconciliation drill.</t>
        </is>
      </c>
      <c r="F87" s="6" t="inlineStr">
        <is>
          <t>Stale index causes wrong prior-authorization policy answer</t>
        </is>
      </c>
      <c r="G87" s="6" t="inlineStr">
        <is>
          <t>Complete GEN AI FDE Interview System — Module 05 production incident logs</t>
        </is>
      </c>
      <c r="H87" s="6" t="inlineStr">
        <is>
          <t>FDE/Complete GEN AI FDE Interview System — Core + GenAI/05_PRODUCTION_DEBUGGING_OBSERVABILITY_AND_OPTIMIZATION/04_PRODUCTION_INCIDENT_LOGS/02_stale_index.md</t>
        </is>
      </c>
      <c r="I87" s="6" t="inlineStr"/>
      <c r="J87" s="6" t="inlineStr">
        <is>
          <t>FDE/Complete GEN AI FDE Interview System — Core + GenAI/05_PRODUCTION_DEBUGGING_OBSERVABILITY_AND_OPTIMIZATION/04_PRODUCTION_INCIDENT_LOGS/00_ALL_UPGRADED_INCIDENTS_COMBINED.md (all ten in one file)</t>
        </is>
      </c>
      <c r="K87" s="6" t="inlineStr">
        <is>
          <t>md (scenario, timeline, root cause, fix, prevention)</t>
        </is>
      </c>
      <c r="L87" s="6" t="inlineStr">
        <is>
          <t>Yes</t>
        </is>
      </c>
      <c r="M87" s="6" t="inlineStr">
        <is>
          <t>Debugging case, not a design case: answer with detect → contain → root-cause → prevent, on the design of the group's anchor.</t>
        </is>
      </c>
      <c r="N87" s="6" t="inlineStr">
        <is>
          <t>G01_Enterprise_Knowledge_Assistant/</t>
        </is>
      </c>
      <c r="O87" s="12" t="inlineStr">
        <is>
          <t>https://forward-deployed-sigma.vercel.app/modules/15-fde-case-studies/knowledge-retrieval/enterprise-knowledge-assistant</t>
        </is>
      </c>
    </row>
    <row r="88">
      <c r="A88" s="6" t="n">
        <v>87</v>
      </c>
      <c r="B88" s="6" t="inlineStr">
        <is>
          <t>Incident scenario</t>
        </is>
      </c>
      <c r="C88" s="6" t="inlineStr">
        <is>
          <t>G14 Observability and production diagnosis</t>
        </is>
      </c>
      <c r="D88" s="6" t="inlineStr">
        <is>
          <t>Covered by anchor — read delta only</t>
        </is>
      </c>
      <c r="E88" s="6" t="inlineStr">
        <is>
          <t>Incident: latency spike after reranker and routing change. Trace the path, compare before/after by stage, roll back the change.</t>
        </is>
      </c>
      <c r="F88" s="6" t="inlineStr">
        <is>
          <t>Latency spike after reranker and model-routing change (live support console)</t>
        </is>
      </c>
      <c r="G88" s="6" t="inlineStr">
        <is>
          <t>Complete GEN AI FDE Interview System — Module 05 production incident logs</t>
        </is>
      </c>
      <c r="H88" s="6" t="inlineStr">
        <is>
          <t>FDE/Complete GEN AI FDE Interview System — Core + GenAI/05_PRODUCTION_DEBUGGING_OBSERVABILITY_AND_OPTIMIZATION/04_PRODUCTION_INCIDENT_LOGS/03_latency_spike.md</t>
        </is>
      </c>
      <c r="I88" s="6" t="inlineStr"/>
      <c r="J88" s="6" t="inlineStr">
        <is>
          <t>FDE/Complete GEN AI FDE Interview System — Core + GenAI/05_PRODUCTION_DEBUGGING_OBSERVABILITY_AND_OPTIMIZATION/04_PRODUCTION_INCIDENT_LOGS/00_ALL_UPGRADED_INCIDENTS_COMBINED.md (all ten in one file)</t>
        </is>
      </c>
      <c r="K88" s="6" t="inlineStr">
        <is>
          <t>md (scenario, timeline, root cause, fix, prevention)</t>
        </is>
      </c>
      <c r="L88" s="6" t="inlineStr">
        <is>
          <t>Yes</t>
        </is>
      </c>
      <c r="M88" s="6" t="inlineStr">
        <is>
          <t>Debugging case, not a design case: answer with detect → contain → root-cause → prevent, on the design of the group's anchor.</t>
        </is>
      </c>
      <c r="N88" s="6" t="inlineStr">
        <is>
          <t>G14_Observability_And_Production_Diagnosis/</t>
        </is>
      </c>
      <c r="O88" s="12" t="inlineStr">
        <is>
          <t>https://forward-deployed-sigma.vercel.app/modules/15-fde-case-studies/delivery-evaluation-operations/observability-and-production-diagnosis</t>
        </is>
      </c>
    </row>
    <row r="89">
      <c r="A89" s="6" t="n">
        <v>88</v>
      </c>
      <c r="B89" s="6" t="inlineStr">
        <is>
          <t>Incident scenario</t>
        </is>
      </c>
      <c r="C89" s="6" t="inlineStr">
        <is>
          <t>G14 Observability and production diagnosis</t>
        </is>
      </c>
      <c r="D89" s="6" t="inlineStr">
        <is>
          <t>Covered by anchor — read delta only</t>
        </is>
      </c>
      <c r="E89" s="6" t="inlineStr">
        <is>
          <t>Incident: cost spike from a prompt-template and cache-key regression. Cost attribution by prompt version; cache key must include the version.</t>
        </is>
      </c>
      <c r="F89" s="6" t="inlineStr">
        <is>
          <t>Cost spike from prompt-template and cache-key regression (executive dashboard copilot)</t>
        </is>
      </c>
      <c r="G89" s="6" t="inlineStr">
        <is>
          <t>Complete GEN AI FDE Interview System — Module 05 production incident logs</t>
        </is>
      </c>
      <c r="H89" s="6" t="inlineStr">
        <is>
          <t>FDE/Complete GEN AI FDE Interview System — Core + GenAI/05_PRODUCTION_DEBUGGING_OBSERVABILITY_AND_OPTIMIZATION/04_PRODUCTION_INCIDENT_LOGS/04_cost_spike.md</t>
        </is>
      </c>
      <c r="I89" s="6" t="inlineStr"/>
      <c r="J89" s="6" t="inlineStr">
        <is>
          <t>FDE/Complete GEN AI FDE Interview System — Core + GenAI/05_PRODUCTION_DEBUGGING_OBSERVABILITY_AND_OPTIMIZATION/04_PRODUCTION_INCIDENT_LOGS/00_ALL_UPGRADED_INCIDENTS_COMBINED.md (all ten in one file)</t>
        </is>
      </c>
      <c r="K89" s="6" t="inlineStr">
        <is>
          <t>md (scenario, timeline, root cause, fix, prevention)</t>
        </is>
      </c>
      <c r="L89" s="6" t="inlineStr">
        <is>
          <t>Yes</t>
        </is>
      </c>
      <c r="M89" s="6" t="inlineStr">
        <is>
          <t>Debugging case, not a design case: answer with detect → contain → root-cause → prevent, on the design of the group's anchor.</t>
        </is>
      </c>
      <c r="N89" s="6" t="inlineStr">
        <is>
          <t>G14_Observability_And_Production_Diagnosis/</t>
        </is>
      </c>
      <c r="O89" s="12" t="inlineStr">
        <is>
          <t>https://forward-deployed-sigma.vercel.app/modules/15-fde-case-studies/delivery-evaluation-operations/observability-and-production-diagnosis</t>
        </is>
      </c>
    </row>
    <row r="90">
      <c r="A90" s="6" t="n">
        <v>89</v>
      </c>
      <c r="B90" s="6" t="inlineStr">
        <is>
          <t>Incident scenario</t>
        </is>
      </c>
      <c r="C90" s="6" t="inlineStr">
        <is>
          <t>G08 Document review / extraction copilot with policy check</t>
        </is>
      </c>
      <c r="D90" s="6" t="inlineStr">
        <is>
          <t>Covered by anchor — read delta only</t>
        </is>
      </c>
      <c r="E90" s="6" t="inlineStr">
        <is>
          <t>Incident: correct answer, wrong citation (legal). Citation verification against the retrieval set, passage-level anchors.</t>
        </is>
      </c>
      <c r="F90" s="6" t="inlineStr">
        <is>
          <t>Correct answer with misleading citations (legal contract copilot)</t>
        </is>
      </c>
      <c r="G90" s="6" t="inlineStr">
        <is>
          <t>Complete GEN AI FDE Interview System — Module 05 production incident logs</t>
        </is>
      </c>
      <c r="H90" s="6" t="inlineStr">
        <is>
          <t>FDE/Complete GEN AI FDE Interview System — Core + GenAI/05_PRODUCTION_DEBUGGING_OBSERVABILITY_AND_OPTIMIZATION/04_PRODUCTION_INCIDENT_LOGS/05_bad_citations.md</t>
        </is>
      </c>
      <c r="I90" s="6" t="inlineStr"/>
      <c r="J90" s="6" t="inlineStr">
        <is>
          <t>FDE/Complete GEN AI FDE Interview System — Core + GenAI/05_PRODUCTION_DEBUGGING_OBSERVABILITY_AND_OPTIMIZATION/04_PRODUCTION_INCIDENT_LOGS/00_ALL_UPGRADED_INCIDENTS_COMBINED.md (all ten in one file)</t>
        </is>
      </c>
      <c r="K90" s="6" t="inlineStr">
        <is>
          <t>md (scenario, timeline, root cause, fix, prevention)</t>
        </is>
      </c>
      <c r="L90" s="6" t="inlineStr">
        <is>
          <t>Yes</t>
        </is>
      </c>
      <c r="M90" s="6" t="inlineStr">
        <is>
          <t>Debugging case, not a design case: answer with detect → contain → root-cause → prevent, on the design of the group's anchor.</t>
        </is>
      </c>
      <c r="N90" s="6" t="inlineStr">
        <is>
          <t>G08_Document_Review_Copilot/</t>
        </is>
      </c>
      <c r="O90" s="12" t="inlineStr">
        <is>
          <t>https://forward-deployed-sigma.vercel.app/modules/15-fde-case-studies/knowledge-retrieval/document-review-copilot</t>
        </is>
      </c>
    </row>
    <row r="91">
      <c r="A91" s="6" t="n">
        <v>90</v>
      </c>
      <c r="B91" s="6" t="inlineStr">
        <is>
          <t>Incident scenario</t>
        </is>
      </c>
      <c r="C91" s="6" t="inlineStr">
        <is>
          <t>G03 Tool-using agent acting across enterprise systems</t>
        </is>
      </c>
      <c r="D91" s="6" t="inlineStr">
        <is>
          <t>Covered by anchor — read delta only</t>
        </is>
      </c>
      <c r="E91" s="6" t="inlineStr">
        <is>
          <t>Incident: refund tool called above the approval threshold. The gateway blocked it; the fix is plan-level policy before tool selection.</t>
        </is>
      </c>
      <c r="F91" s="6" t="inlineStr">
        <is>
          <t>Agent tool-call near miss on refunds above the approval threshold</t>
        </is>
      </c>
      <c r="G91" s="6" t="inlineStr">
        <is>
          <t>Complete GEN AI FDE Interview System — Module 05 production incident logs</t>
        </is>
      </c>
      <c r="H91" s="6" t="inlineStr">
        <is>
          <t>FDE/Complete GEN AI FDE Interview System — Core + GenAI/05_PRODUCTION_DEBUGGING_OBSERVABILITY_AND_OPTIMIZATION/04_PRODUCTION_INCIDENT_LOGS/06_tool_call_near_miss.md</t>
        </is>
      </c>
      <c r="I91" s="6" t="inlineStr"/>
      <c r="J91" s="6" t="inlineStr">
        <is>
          <t>FDE/Complete GEN AI FDE Interview System — Core + GenAI/05_PRODUCTION_DEBUGGING_OBSERVABILITY_AND_OPTIMIZATION/04_PRODUCTION_INCIDENT_LOGS/00_ALL_UPGRADED_INCIDENTS_COMBINED.md (all ten in one file)</t>
        </is>
      </c>
      <c r="K91" s="6" t="inlineStr">
        <is>
          <t>md (scenario, timeline, root cause, fix, prevention)</t>
        </is>
      </c>
      <c r="L91" s="6" t="inlineStr">
        <is>
          <t>Yes</t>
        </is>
      </c>
      <c r="M91" s="6" t="inlineStr">
        <is>
          <t>Debugging case, not a design case: answer with detect → contain → root-cause → prevent, on the design of the group's anchor.</t>
        </is>
      </c>
      <c r="N91" s="6" t="inlineStr">
        <is>
          <t>G03_Tool_Using_Agent_With_Safety_Controls/</t>
        </is>
      </c>
      <c r="O91" s="12" t="inlineStr">
        <is>
          <t>https://forward-deployed-sigma.vercel.app/modules/15-fde-case-studies/agents-that-act/tool-using-agent-with-safety-controls</t>
        </is>
      </c>
    </row>
    <row r="92">
      <c r="A92" s="6" t="n">
        <v>91</v>
      </c>
      <c r="B92" s="6" t="inlineStr">
        <is>
          <t>Incident scenario</t>
        </is>
      </c>
      <c r="C92" s="6" t="inlineStr">
        <is>
          <t>G13 Evaluation and release gating</t>
        </is>
      </c>
      <c r="D92" s="6" t="inlineStr">
        <is>
          <t>Covered by anchor — read delta only</t>
        </is>
      </c>
      <c r="E92" s="6" t="inlineStr">
        <is>
          <t>Incident: model regression passed offline evals (sales copilot). The gate must test unsupported claims, not fluency; add claim-grounding checks.</t>
        </is>
      </c>
      <c r="F92" s="6" t="inlineStr">
        <is>
          <t>Model regression missed by a weak evaluation suite (sales copilot)</t>
        </is>
      </c>
      <c r="G92" s="6" t="inlineStr">
        <is>
          <t>Complete GEN AI FDE Interview System — Module 05 production incident logs</t>
        </is>
      </c>
      <c r="H92" s="6" t="inlineStr">
        <is>
          <t>FDE/Complete GEN AI FDE Interview System — Core + GenAI/05_PRODUCTION_DEBUGGING_OBSERVABILITY_AND_OPTIMIZATION/04_PRODUCTION_INCIDENT_LOGS/07_eval_regression.md</t>
        </is>
      </c>
      <c r="I92" s="6" t="inlineStr"/>
      <c r="J92" s="6" t="inlineStr">
        <is>
          <t>FDE/Complete GEN AI FDE Interview System — Core + GenAI/05_PRODUCTION_DEBUGGING_OBSERVABILITY_AND_OPTIMIZATION/04_PRODUCTION_INCIDENT_LOGS/00_ALL_UPGRADED_INCIDENTS_COMBINED.md (all ten in one file)</t>
        </is>
      </c>
      <c r="K92" s="6" t="inlineStr">
        <is>
          <t>md (scenario, timeline, root cause, fix, prevention)</t>
        </is>
      </c>
      <c r="L92" s="6" t="inlineStr">
        <is>
          <t>Yes</t>
        </is>
      </c>
      <c r="M92" s="6" t="inlineStr">
        <is>
          <t>Debugging case, not a design case: answer with detect → contain → root-cause → prevent, on the design of the group's anchor.</t>
        </is>
      </c>
      <c r="N92" s="6" t="inlineStr">
        <is>
          <t>G13_Evaluation_And_Release_Gating/</t>
        </is>
      </c>
      <c r="O92" s="12" t="inlineStr">
        <is>
          <t>https://forward-deployed-sigma.vercel.app/modules/15-fde-case-studies/delivery-evaluation-operations/evaluation-and-release-gating</t>
        </is>
      </c>
    </row>
    <row r="93">
      <c r="A93" s="6" t="n">
        <v>92</v>
      </c>
      <c r="B93" s="6" t="inlineStr">
        <is>
          <t>Incident scenario</t>
        </is>
      </c>
      <c r="C93" s="6" t="inlineStr">
        <is>
          <t>G08 Document review / extraction copilot with policy check</t>
        </is>
      </c>
      <c r="D93" s="6" t="inlineStr">
        <is>
          <t>Covered by anchor — read delta only</t>
        </is>
      </c>
      <c r="E93" s="6" t="inlineStr">
        <is>
          <t>Incident: PDF parser drops tables. Ingestion QA: table-aware parsing, sampled extraction audits, parser version in traces.</t>
        </is>
      </c>
      <c r="F93" s="6" t="inlineStr">
        <is>
          <t>PDF parser drops critical tables during policy ingestion (compliance reviewer)</t>
        </is>
      </c>
      <c r="G93" s="6" t="inlineStr">
        <is>
          <t>Complete GEN AI FDE Interview System — Module 05 production incident logs</t>
        </is>
      </c>
      <c r="H93" s="6" t="inlineStr">
        <is>
          <t>FDE/Complete GEN AI FDE Interview System — Core + GenAI/05_PRODUCTION_DEBUGGING_OBSERVABILITY_AND_OPTIMIZATION/04_PRODUCTION_INCIDENT_LOGS/08_ingestion_parser_failure.md</t>
        </is>
      </c>
      <c r="I93" s="6" t="inlineStr"/>
      <c r="J93" s="6" t="inlineStr">
        <is>
          <t>FDE/Complete GEN AI FDE Interview System — Core + GenAI/05_PRODUCTION_DEBUGGING_OBSERVABILITY_AND_OPTIMIZATION/04_PRODUCTION_INCIDENT_LOGS/00_ALL_UPGRADED_INCIDENTS_COMBINED.md (all ten in one file)</t>
        </is>
      </c>
      <c r="K93" s="6" t="inlineStr">
        <is>
          <t>md (scenario, timeline, root cause, fix, prevention)</t>
        </is>
      </c>
      <c r="L93" s="6" t="inlineStr">
        <is>
          <t>Yes</t>
        </is>
      </c>
      <c r="M93" s="6" t="inlineStr">
        <is>
          <t>Debugging case, not a design case: answer with detect → contain → root-cause → prevent, on the design of the group's anchor.</t>
        </is>
      </c>
      <c r="N93" s="6" t="inlineStr">
        <is>
          <t>G08_Document_Review_Copilot/</t>
        </is>
      </c>
      <c r="O93" s="12" t="inlineStr">
        <is>
          <t>https://forward-deployed-sigma.vercel.app/modules/15-fde-case-studies/knowledge-retrieval/document-review-copilot</t>
        </is>
      </c>
    </row>
    <row r="94">
      <c r="A94" s="6" t="n">
        <v>93</v>
      </c>
      <c r="B94" s="6" t="inlineStr">
        <is>
          <t>Incident scenario</t>
        </is>
      </c>
      <c r="C94" s="6" t="inlineStr">
        <is>
          <t>G01 Enterprise knowledge assistant (permission-aware RAG)</t>
        </is>
      </c>
      <c r="D94" s="6" t="inlineStr">
        <is>
          <t>Covered by anchor — read delta only</t>
        </is>
      </c>
      <c r="E94" s="6" t="inlineStr">
        <is>
          <t>Incident: prompt injection from a retrieved Confluence page. Retrieved content is evidence, never instructions; tool gateway blocks the exfil.</t>
        </is>
      </c>
      <c r="F94" s="6" t="inlineStr">
        <is>
          <t>Prompt injection from a retrieved Confluence article (internal knowledge assistant)</t>
        </is>
      </c>
      <c r="G94" s="6" t="inlineStr">
        <is>
          <t>Complete GEN AI FDE Interview System — Module 05 production incident logs</t>
        </is>
      </c>
      <c r="H94" s="6" t="inlineStr">
        <is>
          <t>FDE/Complete GEN AI FDE Interview System — Core + GenAI/05_PRODUCTION_DEBUGGING_OBSERVABILITY_AND_OPTIMIZATION/04_PRODUCTION_INCIDENT_LOGS/09_prompt_injection.md</t>
        </is>
      </c>
      <c r="I94" s="6" t="inlineStr"/>
      <c r="J94" s="6" t="inlineStr">
        <is>
          <t>FDE/Complete GEN AI FDE Interview System — Core + GenAI/05_PRODUCTION_DEBUGGING_OBSERVABILITY_AND_OPTIMIZATION/04_PRODUCTION_INCIDENT_LOGS/00_ALL_UPGRADED_INCIDENTS_COMBINED.md (all ten in one file)</t>
        </is>
      </c>
      <c r="K94" s="6" t="inlineStr">
        <is>
          <t>md (scenario, timeline, root cause, fix, prevention)</t>
        </is>
      </c>
      <c r="L94" s="6" t="inlineStr">
        <is>
          <t>Yes</t>
        </is>
      </c>
      <c r="M94" s="6" t="inlineStr">
        <is>
          <t>Debugging case, not a design case: answer with detect → contain → root-cause → prevent, on the design of the group's anchor.</t>
        </is>
      </c>
      <c r="N94" s="6" t="inlineStr">
        <is>
          <t>G01_Enterprise_Knowledge_Assistant/</t>
        </is>
      </c>
      <c r="O94" s="12" t="inlineStr">
        <is>
          <t>https://forward-deployed-sigma.vercel.app/modules/15-fde-case-studies/knowledge-retrieval/enterprise-knowledge-assistant</t>
        </is>
      </c>
    </row>
    <row r="95">
      <c r="A95" s="6" t="n">
        <v>94</v>
      </c>
      <c r="B95" s="6" t="inlineStr">
        <is>
          <t>Incident scenario</t>
        </is>
      </c>
      <c r="C95" s="6" t="inlineStr">
        <is>
          <t>G01 Enterprise knowledge assistant (permission-aware RAG)</t>
        </is>
      </c>
      <c r="D95" s="6" t="inlineStr">
        <is>
          <t>Covered by anchor — read delta only</t>
        </is>
      </c>
      <c r="E95" s="6" t="inlineStr">
        <is>
          <t>Incident: embedding-model change causes vector drift. Re-chunking or re-embedding is a retrieval-model change: versioned index, offline eval, staged cutover.</t>
        </is>
      </c>
      <c r="F95" s="6" t="inlineStr">
        <is>
          <t>Embedding-model change degrades recall through vector drift (technical support assistant)</t>
        </is>
      </c>
      <c r="G95" s="6" t="inlineStr">
        <is>
          <t>Complete GEN AI FDE Interview System — Module 05 production incident logs</t>
        </is>
      </c>
      <c r="H95" s="6" t="inlineStr">
        <is>
          <t>FDE/Complete GEN AI FDE Interview System — Core + GenAI/05_PRODUCTION_DEBUGGING_OBSERVABILITY_AND_OPTIMIZATION/04_PRODUCTION_INCIDENT_LOGS/10_vector_drift.md</t>
        </is>
      </c>
      <c r="I95" s="6" t="inlineStr"/>
      <c r="J95" s="6" t="inlineStr">
        <is>
          <t>FDE/Complete GEN AI FDE Interview System — Core + GenAI/05_PRODUCTION_DEBUGGING_OBSERVABILITY_AND_OPTIMIZATION/04_PRODUCTION_INCIDENT_LOGS/00_ALL_UPGRADED_INCIDENTS_COMBINED.md (all ten in one file)</t>
        </is>
      </c>
      <c r="K95" s="6" t="inlineStr">
        <is>
          <t>md (scenario, timeline, root cause, fix, prevention)</t>
        </is>
      </c>
      <c r="L95" s="6" t="inlineStr">
        <is>
          <t>Yes</t>
        </is>
      </c>
      <c r="M95" s="6" t="inlineStr">
        <is>
          <t>Debugging case, not a design case: answer with detect → contain → root-cause → prevent, on the design of the group's anchor.</t>
        </is>
      </c>
      <c r="N95" s="6" t="inlineStr">
        <is>
          <t>G01_Enterprise_Knowledge_Assistant/</t>
        </is>
      </c>
      <c r="O95" s="12" t="inlineStr">
        <is>
          <t>https://forward-deployed-sigma.vercel.app/modules/15-fde-case-studies/knowledge-retrieval/enterprise-knowledge-assistant</t>
        </is>
      </c>
    </row>
    <row r="96">
      <c r="A96" s="6" t="n">
        <v>95</v>
      </c>
      <c r="B96" s="6" t="inlineStr">
        <is>
          <t>Study-guide mock design</t>
        </is>
      </c>
      <c r="C96" s="6" t="inlineStr">
        <is>
          <t>G02 Customer-support automation</t>
        </is>
      </c>
      <c r="D96" s="6" t="inlineStr">
        <is>
          <t>Covered by anchor — read delta only</t>
        </is>
      </c>
      <c r="E96" s="6" t="inlineStr">
        <is>
          <t>Study-guide mock (LangChain): multilingual ticket triage. Delta: language detection and routing chain.</t>
        </is>
      </c>
      <c r="F96" s="6" t="inlineStr">
        <is>
          <t>Real-time multilingual support-ticket triage agent</t>
        </is>
      </c>
      <c r="G96" s="6" t="inlineStr">
        <is>
          <t>Study Guides — interview tutorials, mock system design section</t>
        </is>
      </c>
      <c r="H96" s="6" t="inlineStr">
        <is>
          <t>Study_Guides/01_langchain_foundations_INTERVIEW_TUTORIAL.md</t>
        </is>
      </c>
      <c r="I96" s="6" t="inlineStr"/>
      <c r="J96" s="6" t="inlineStr">
        <is>
          <t>Same folder: .html render where one exists</t>
        </is>
      </c>
      <c r="K96" s="6" t="inlineStr">
        <is>
          <t>md section</t>
        </is>
      </c>
      <c r="L96" s="6" t="inlineStr">
        <is>
          <t>Yes</t>
        </is>
      </c>
      <c r="M96" s="6" t="inlineStr">
        <is>
          <t>section 6 (Mock system design). Framework-flavoured (LangChain/LangGraph) treatment of the same system; use it to add implementation detail to the anchor, not as a separate case.</t>
        </is>
      </c>
      <c r="N96" s="6" t="inlineStr">
        <is>
          <t>G02_Customer_Support_Automation/</t>
        </is>
      </c>
      <c r="O96" s="12" t="inlineStr">
        <is>
          <t>https://forward-deployed-sigma.vercel.app/modules/15-fde-case-studies/agents-that-act/customer-support-automation</t>
        </is>
      </c>
    </row>
    <row r="97">
      <c r="A97" s="6" t="n">
        <v>96</v>
      </c>
      <c r="B97" s="6" t="inlineStr">
        <is>
          <t>Study-guide mock design</t>
        </is>
      </c>
      <c r="C97" s="6" t="inlineStr">
        <is>
          <t>G02 Customer-support automation</t>
        </is>
      </c>
      <c r="D97" s="6" t="inlineStr">
        <is>
          <t>Covered by anchor — read delta only</t>
        </is>
      </c>
      <c r="E97" s="6" t="inlineStr">
        <is>
          <t>Study-guide mock (LangGraph): human-gated ticket agent. Delta: interrupt/approval node mechanics.</t>
        </is>
      </c>
      <c r="F97" s="6" t="inlineStr">
        <is>
          <t>Real-time, human-gated support-ticket agent</t>
        </is>
      </c>
      <c r="G97" s="6" t="inlineStr">
        <is>
          <t>Study Guides — interview tutorials, mock system design section</t>
        </is>
      </c>
      <c r="H97" s="6" t="inlineStr">
        <is>
          <t>Study_Guides/03_langgraph_fundamentals_INTERVIEW_TUTORIAL.md</t>
        </is>
      </c>
      <c r="I97" s="6" t="inlineStr"/>
      <c r="J97" s="6" t="inlineStr">
        <is>
          <t>Same folder: .html render where one exists</t>
        </is>
      </c>
      <c r="K97" s="6" t="inlineStr">
        <is>
          <t>md section</t>
        </is>
      </c>
      <c r="L97" s="6" t="inlineStr">
        <is>
          <t>Yes</t>
        </is>
      </c>
      <c r="M97" s="6" t="inlineStr">
        <is>
          <t>section 6 (Mock system design). Framework-flavoured (LangChain/LangGraph) treatment of the same system; use it to add implementation detail to the anchor, not as a separate case.</t>
        </is>
      </c>
      <c r="N97" s="6" t="inlineStr">
        <is>
          <t>G02_Customer_Support_Automation/</t>
        </is>
      </c>
      <c r="O97" s="12" t="inlineStr">
        <is>
          <t>https://forward-deployed-sigma.vercel.app/modules/15-fde-case-studies/agents-that-act/customer-support-automation</t>
        </is>
      </c>
    </row>
    <row r="98">
      <c r="A98" s="6" t="n">
        <v>97</v>
      </c>
      <c r="B98" s="6" t="inlineStr">
        <is>
          <t>Study-guide mock design</t>
        </is>
      </c>
      <c r="C98" s="6" t="inlineStr">
        <is>
          <t>G02 Customer-support automation</t>
        </is>
      </c>
      <c r="D98" s="6" t="inlineStr">
        <is>
          <t>Covered by anchor — read delta only</t>
        </is>
      </c>
      <c r="E98" s="6" t="inlineStr">
        <is>
          <t>Study-guide mock (RAG): agentic RAG support assistant. Delta: retrieval grading and rewrite loop.</t>
        </is>
      </c>
      <c r="F98" s="6" t="inlineStr">
        <is>
          <t>Real-time agentic RAG support assistant</t>
        </is>
      </c>
      <c r="G98" s="6" t="inlineStr">
        <is>
          <t>Study Guides — interview tutorials, mock system design section</t>
        </is>
      </c>
      <c r="H98" s="6" t="inlineStr">
        <is>
          <t>Study_Guides/04_rag_and_retrieval_INTERVIEW_TUTORIAL.md</t>
        </is>
      </c>
      <c r="I98" s="6" t="inlineStr"/>
      <c r="J98" s="6" t="inlineStr">
        <is>
          <t>Same folder: .html render where one exists</t>
        </is>
      </c>
      <c r="K98" s="6" t="inlineStr">
        <is>
          <t>md section</t>
        </is>
      </c>
      <c r="L98" s="6" t="inlineStr">
        <is>
          <t>Yes</t>
        </is>
      </c>
      <c r="M98" s="6" t="inlineStr">
        <is>
          <t>section 6 (Mock system design). Framework-flavoured (LangChain/LangGraph) treatment of the same system; use it to add implementation detail to the anchor, not as a separate case.</t>
        </is>
      </c>
      <c r="N98" s="6" t="inlineStr">
        <is>
          <t>G02_Customer_Support_Automation/</t>
        </is>
      </c>
      <c r="O98" s="12" t="inlineStr">
        <is>
          <t>https://forward-deployed-sigma.vercel.app/modules/15-fde-case-studies/agents-that-act/customer-support-automation</t>
        </is>
      </c>
    </row>
    <row r="99">
      <c r="A99" s="6" t="n">
        <v>98</v>
      </c>
      <c r="B99" s="6" t="inlineStr">
        <is>
          <t>Study-guide mock design</t>
        </is>
      </c>
      <c r="C99" s="6" t="inlineStr">
        <is>
          <t>— standalone</t>
        </is>
      </c>
      <c r="D99" s="6" t="inlineStr">
        <is>
          <t>Prepare on its own</t>
        </is>
      </c>
      <c r="E99" s="6" t="inlineStr">
        <is>
          <t>Personal assistant that remembers you across weeks — long-term memory design (episodic/semantic stores, retrieval of memories, forgetting). No sibling among the design cases.</t>
        </is>
      </c>
      <c r="F99" s="6" t="inlineStr">
        <is>
          <t>Real-time personal assistant that remembers you across weeks</t>
        </is>
      </c>
      <c r="G99" s="6" t="inlineStr">
        <is>
          <t>Study Guides — interview tutorials, mock system design section</t>
        </is>
      </c>
      <c r="H99" s="6" t="inlineStr">
        <is>
          <t>Study_Guides/07_memory_and_state_INTERVIEW_TUTORIAL.md</t>
        </is>
      </c>
      <c r="I99" s="6" t="inlineStr"/>
      <c r="J99" s="6" t="inlineStr">
        <is>
          <t>Same folder: .html render where one exists</t>
        </is>
      </c>
      <c r="K99" s="6" t="inlineStr">
        <is>
          <t>md section</t>
        </is>
      </c>
      <c r="L99" s="6" t="inlineStr">
        <is>
          <t>Yes</t>
        </is>
      </c>
      <c r="M99" s="6" t="inlineStr">
        <is>
          <t>section 6 (Mock system design). Framework-flavoured (LangChain/LangGraph) treatment of the same system; use it to add implementation detail to the anchor, not as a separate case.</t>
        </is>
      </c>
      <c r="N99" s="6" t="inlineStr">
        <is>
          <t>Standalone/98_Personal_Assistant_With_Memory/98_Personal_Assistant_With_Memory.md</t>
        </is>
      </c>
      <c r="O99" s="12" t="inlineStr">
        <is>
          <t>https://forward-deployed-sigma.vercel.app/modules/15-fde-case-studies/standalone-designs/personal-assistant-with-memory</t>
        </is>
      </c>
    </row>
    <row r="100">
      <c r="A100" s="6" t="n">
        <v>99</v>
      </c>
      <c r="B100" s="6" t="inlineStr">
        <is>
          <t>Study-guide mock design</t>
        </is>
      </c>
      <c r="C100" s="6" t="inlineStr">
        <is>
          <t>G02 Customer-support automation</t>
        </is>
      </c>
      <c r="D100" s="6" t="inlineStr">
        <is>
          <t>Covered by anchor — read delta only</t>
        </is>
      </c>
      <c r="E100" s="6" t="inlineStr">
        <is>
          <t>Study-guide mock (advanced RAG): support search over a fragmented, growing KB. Delta: parent-document and multi-index retrieval.</t>
        </is>
      </c>
      <c r="F100" s="6" t="inlineStr">
        <is>
          <t>Real-time customer-support search over a fragmented, growing knowledge base</t>
        </is>
      </c>
      <c r="G100" s="6" t="inlineStr">
        <is>
          <t>Study Guides — interview tutorials, mock system design section</t>
        </is>
      </c>
      <c r="H100" s="6" t="inlineStr">
        <is>
          <t>Study_Guides/08_advanced_rag_techniques_INTERVIEW_TUTORIAL.md</t>
        </is>
      </c>
      <c r="I100" s="6" t="inlineStr"/>
      <c r="J100" s="6" t="inlineStr">
        <is>
          <t>Same folder: .html render where one exists</t>
        </is>
      </c>
      <c r="K100" s="6" t="inlineStr">
        <is>
          <t>md section</t>
        </is>
      </c>
      <c r="L100" s="6" t="inlineStr">
        <is>
          <t>Yes</t>
        </is>
      </c>
      <c r="M100" s="6" t="inlineStr">
        <is>
          <t>section 6 (Mock system design). Framework-flavoured (LangChain/LangGraph) treatment of the same system; use it to add implementation detail to the anchor, not as a separate case.</t>
        </is>
      </c>
      <c r="N100" s="6" t="inlineStr">
        <is>
          <t>G02_Customer_Support_Automation/</t>
        </is>
      </c>
      <c r="O100" s="12" t="inlineStr">
        <is>
          <t>https://forward-deployed-sigma.vercel.app/modules/15-fde-case-studies/agents-that-act/customer-support-automation</t>
        </is>
      </c>
    </row>
    <row r="101">
      <c r="A101" s="6" t="n">
        <v>100</v>
      </c>
      <c r="B101" s="6" t="inlineStr">
        <is>
          <t>Study-guide mock design</t>
        </is>
      </c>
      <c r="C101" s="6" t="inlineStr">
        <is>
          <t>— standalone</t>
        </is>
      </c>
      <c r="D101" s="6" t="inlineStr">
        <is>
          <t>Prepare on its own</t>
        </is>
      </c>
      <c r="E101" s="6" t="inlineStr">
        <is>
          <t>Production LLM gateway under real constraints — routing, quotas, caching, key management, observability at the gateway. Cross-cutting; no sibling.</t>
        </is>
      </c>
      <c r="F101" s="6" t="inlineStr">
        <is>
          <t>Production LLM gateway under real constraints</t>
        </is>
      </c>
      <c r="G101" s="6" t="inlineStr">
        <is>
          <t>Study Guides — interview tutorials, mock system design section</t>
        </is>
      </c>
      <c r="H101" s="6" t="inlineStr">
        <is>
          <t>Study_Guides/12_production_and_operations_INTERVIEW_TUTORIAL.md</t>
        </is>
      </c>
      <c r="I101" s="6" t="inlineStr"/>
      <c r="J101" s="6" t="inlineStr">
        <is>
          <t>Same folder: .html render where one exists</t>
        </is>
      </c>
      <c r="K101" s="6" t="inlineStr">
        <is>
          <t>md section</t>
        </is>
      </c>
      <c r="L101" s="6" t="inlineStr">
        <is>
          <t>Yes</t>
        </is>
      </c>
      <c r="M101" s="6" t="inlineStr">
        <is>
          <t>section 6 (Mock system design). Framework-flavoured (LangChain/LangGraph) treatment of the same system; use it to add implementation detail to the anchor, not as a separate case.</t>
        </is>
      </c>
      <c r="N101" s="6" t="inlineStr">
        <is>
          <t>Standalone/100_Production_LLM_Gateway/100_Production_LLM_Gateway.md</t>
        </is>
      </c>
      <c r="O101" s="12" t="inlineStr">
        <is>
          <t>https://forward-deployed-sigma.vercel.app/modules/15-fde-case-studies/standalone-designs/production-llm-gateway</t>
        </is>
      </c>
    </row>
    <row r="102">
      <c r="A102" s="6" t="n">
        <v>101</v>
      </c>
      <c r="B102" s="6" t="inlineStr">
        <is>
          <t>Study-guide mock design</t>
        </is>
      </c>
      <c r="C102" s="6" t="inlineStr">
        <is>
          <t>G02 Customer-support automation</t>
        </is>
      </c>
      <c r="D102" s="6" t="inlineStr">
        <is>
          <t>Covered by anchor — read delta only</t>
        </is>
      </c>
      <c r="E102" s="6" t="inlineStr">
        <is>
          <t>Study-guide mock (agents): travel-booking support agent. Delta: tool design for bookings and cancellations.</t>
        </is>
      </c>
      <c r="F102" s="6" t="inlineStr">
        <is>
          <t>Real-time customer-support agent for a travel booking platform</t>
        </is>
      </c>
      <c r="G102" s="6" t="inlineStr">
        <is>
          <t>Study Guides — interview tutorials, mock system design section</t>
        </is>
      </c>
      <c r="H102" s="6" t="inlineStr">
        <is>
          <t>Study_Guides/agent_fundamentals_and_advanced_agentic_systems_INTERVIEW_TUTORIAL.md</t>
        </is>
      </c>
      <c r="I102" s="6" t="inlineStr"/>
      <c r="J102" s="6" t="inlineStr">
        <is>
          <t>Same folder: .html render where one exists</t>
        </is>
      </c>
      <c r="K102" s="6" t="inlineStr">
        <is>
          <t>md section</t>
        </is>
      </c>
      <c r="L102" s="6" t="inlineStr">
        <is>
          <t>Yes</t>
        </is>
      </c>
      <c r="M102" s="6" t="inlineStr">
        <is>
          <t>section 6 (Mock system design). Framework-flavoured (LangChain/LangGraph) treatment of the same system; use it to add implementation detail to the anchor, not as a separate case.</t>
        </is>
      </c>
      <c r="N102" s="6" t="inlineStr">
        <is>
          <t>G02_Customer_Support_Automation/</t>
        </is>
      </c>
      <c r="O102" s="12" t="inlineStr">
        <is>
          <t>https://forward-deployed-sigma.vercel.app/modules/15-fde-case-studies/agents-that-act/customer-support-automation</t>
        </is>
      </c>
    </row>
    <row r="103">
      <c r="A103" s="6" t="n">
        <v>102</v>
      </c>
      <c r="B103" s="6" t="inlineStr">
        <is>
          <t>Study-guide mock design</t>
        </is>
      </c>
      <c r="C103" s="6" t="inlineStr">
        <is>
          <t>G02 Customer-support automation</t>
        </is>
      </c>
      <c r="D103" s="6" t="inlineStr">
        <is>
          <t>Covered by anchor — read delta only</t>
        </is>
      </c>
      <c r="E103" s="6" t="inlineStr">
        <is>
          <t>Study-guide mock (parent-document retrieval): support agent over a growing KB. Delta: chunk-vs-parent retrieval trade-off.</t>
        </is>
      </c>
      <c r="F103" s="6" t="inlineStr">
        <is>
          <t>Real-time customer-support agent over a growing knowledge base</t>
        </is>
      </c>
      <c r="G103" s="6" t="inlineStr">
        <is>
          <t>Study Guides — interview tutorials, mock system design section</t>
        </is>
      </c>
      <c r="H103" s="6" t="inlineStr">
        <is>
          <t>Study_Guides/parent_document_retrieval_INTERVIEW_TUTORIAL.md</t>
        </is>
      </c>
      <c r="I103" s="6" t="inlineStr"/>
      <c r="J103" s="6" t="inlineStr">
        <is>
          <t>Same folder: .html render where one exists</t>
        </is>
      </c>
      <c r="K103" s="6" t="inlineStr">
        <is>
          <t>md section</t>
        </is>
      </c>
      <c r="L103" s="6" t="inlineStr">
        <is>
          <t>Yes</t>
        </is>
      </c>
      <c r="M103" s="6" t="inlineStr">
        <is>
          <t>section 6 (Mock system design). Framework-flavoured (LangChain/LangGraph) treatment of the same system; use it to add implementation detail to the anchor, not as a separate case.</t>
        </is>
      </c>
      <c r="N103" s="6" t="inlineStr">
        <is>
          <t>G02_Customer_Support_Automation/</t>
        </is>
      </c>
      <c r="O103" s="12" t="inlineStr">
        <is>
          <t>https://forward-deployed-sigma.vercel.app/modules/15-fde-case-studies/agents-that-act/customer-support-automation</t>
        </is>
      </c>
    </row>
    <row r="104">
      <c r="A104" s="6" t="n">
        <v>103</v>
      </c>
      <c r="B104" s="6" t="inlineStr">
        <is>
          <t>Study-guide mock design</t>
        </is>
      </c>
      <c r="C104" s="6" t="inlineStr">
        <is>
          <t>G11 Deep research agent</t>
        </is>
      </c>
      <c r="D104" s="6" t="inlineStr">
        <is>
          <t>Covered by anchor — read delta only</t>
        </is>
      </c>
      <c r="E104" s="6" t="inlineStr">
        <is>
          <t>Study-guide mock (multi-agent): supervisor plans N queries, workers run in parallel, synthesiser merges; hop cap and per-run budget. Implementation view of the anchor.</t>
        </is>
      </c>
      <c r="F104" s="6" t="inlineStr">
        <is>
          <t>Research system with a supervisor and workers</t>
        </is>
      </c>
      <c r="G104" s="6" t="inlineStr">
        <is>
          <t>Study Guides — interview tutorials, mock system design section</t>
        </is>
      </c>
      <c r="H104" s="6" t="inlineStr">
        <is>
          <t>Study_Guides/07_multi_agent_systems_INTERVIEW_TUTORIAL.md</t>
        </is>
      </c>
      <c r="I104" s="6" t="inlineStr"/>
      <c r="J104" s="6" t="inlineStr">
        <is>
          <t>Same folder: .html render where one exists</t>
        </is>
      </c>
      <c r="K104" s="6" t="inlineStr">
        <is>
          <t>md section</t>
        </is>
      </c>
      <c r="L104" s="6" t="inlineStr">
        <is>
          <t>Yes</t>
        </is>
      </c>
      <c r="M104" s="6" t="inlineStr">
        <is>
          <t>section 7 (Design a research system). Framework-flavoured (LangChain/LangGraph) treatment of the same system; use it to add implementation detail to the anchor, not as a separate case.</t>
        </is>
      </c>
      <c r="N104" s="6" t="inlineStr">
        <is>
          <t>G11_Deep_Research_Agent/</t>
        </is>
      </c>
      <c r="O104" s="12" t="inlineStr">
        <is>
          <t>https://forward-deployed-sigma.vercel.app/modules/15-fde-case-studies/knowledge-retrieval/deep-research-agent</t>
        </is>
      </c>
    </row>
    <row r="105">
      <c r="A105" s="6" t="n">
        <v>104</v>
      </c>
      <c r="B105" s="6" t="inlineStr">
        <is>
          <t>Cost/latency production scenario</t>
        </is>
      </c>
      <c r="C105" s="6" t="inlineStr">
        <is>
          <t>G14 Observability and production diagnosis</t>
        </is>
      </c>
      <c r="D105" s="10" t="inlineStr">
        <is>
          <t>Same system, cost/latency question — 10-min add-on</t>
        </is>
      </c>
      <c r="E105" s="6" t="inlineStr">
        <is>
          <t>§15 scenario 1: cost up 5× after rollout. Break spend by tenant/feature/model/prompt version; cap output, pause batch, route down.</t>
        </is>
      </c>
      <c r="F105" s="6" t="inlineStr">
        <is>
          <t>LLM cost increased 5× after rollout</t>
        </is>
      </c>
      <c r="G105" s="6" t="inlineStr">
        <is>
          <t>Study Guides — Cost &amp; Latency Optimization (§15, 15 production scenarios)</t>
        </is>
      </c>
      <c r="H105" s="6" t="inlineStr">
        <is>
          <t>Study_Guides/Cost_Latency_Optimization/CRAM_SHEET_S15_S16.md</t>
        </is>
      </c>
      <c r="I105" s="6" t="inlineStr"/>
      <c r="J105" s="6" t="inlineStr">
        <is>
          <t>Study_Guides/Cost_Latency_Optimization/Cost_Latency_Drills_S15_S16.html; one-liners in §2 of the cram sheet</t>
        </is>
      </c>
      <c r="K105" s="6" t="inlineStr">
        <is>
          <t>md section + html drill deck</t>
        </is>
      </c>
      <c r="L105" s="6" t="inlineStr">
        <is>
          <t>Yes</t>
        </is>
      </c>
      <c r="M105" s="6" t="inlineStr">
        <is>
          <t>§15 scenario 1. Shape: symptom / ask / causes / metrics / debug / now / later / prevent / say. Same 8 drivers as the drills.</t>
        </is>
      </c>
      <c r="N105" s="6" t="inlineStr">
        <is>
          <t>G14_Observability_And_Production_Diagnosis/</t>
        </is>
      </c>
      <c r="O105" s="12" t="inlineStr">
        <is>
          <t>https://forward-deployed-sigma.vercel.app/modules/15-fde-case-studies/delivery-evaluation-operations/observability-and-production-diagnosis</t>
        </is>
      </c>
    </row>
    <row r="106">
      <c r="A106" s="6" t="n">
        <v>105</v>
      </c>
      <c r="B106" s="6" t="inlineStr">
        <is>
          <t>Cost/latency production scenario</t>
        </is>
      </c>
      <c r="C106" s="6" t="inlineStr">
        <is>
          <t>G14 Observability and production diagnosis</t>
        </is>
      </c>
      <c r="D106" s="10" t="inlineStr">
        <is>
          <t>Same system, cost/latency question — 10-min add-on</t>
        </is>
      </c>
      <c r="E106" s="6" t="inlineStr">
        <is>
          <t>§15 scenario 2: latency 2 s to 20 s. Decompose by stage; find the serial step or retry storm.</t>
        </is>
      </c>
      <c r="F106" s="6" t="inlineStr">
        <is>
          <t>Latency jumped from 2 seconds to 20 seconds</t>
        </is>
      </c>
      <c r="G106" s="6" t="inlineStr">
        <is>
          <t>Study Guides — Cost &amp; Latency Optimization (§15, 15 production scenarios)</t>
        </is>
      </c>
      <c r="H106" s="6" t="inlineStr">
        <is>
          <t>Study_Guides/Cost_Latency_Optimization/CRAM_SHEET_S15_S16.md</t>
        </is>
      </c>
      <c r="I106" s="6" t="inlineStr"/>
      <c r="J106" s="6" t="inlineStr">
        <is>
          <t>Study_Guides/Cost_Latency_Optimization/Cost_Latency_Drills_S15_S16.html; one-liners in §2 of the cram sheet</t>
        </is>
      </c>
      <c r="K106" s="6" t="inlineStr">
        <is>
          <t>md section + html drill deck</t>
        </is>
      </c>
      <c r="L106" s="6" t="inlineStr">
        <is>
          <t>Yes</t>
        </is>
      </c>
      <c r="M106" s="6" t="inlineStr">
        <is>
          <t>§15 scenario 2. Shape: symptom / ask / causes / metrics / debug / now / later / prevent / say. Same 8 drivers as the drills.</t>
        </is>
      </c>
      <c r="N106" s="6" t="inlineStr">
        <is>
          <t>G14_Observability_And_Production_Diagnosis/</t>
        </is>
      </c>
      <c r="O106" s="12" t="inlineStr">
        <is>
          <t>https://forward-deployed-sigma.vercel.app/modules/15-fde-case-studies/delivery-evaluation-operations/observability-and-production-diagnosis</t>
        </is>
      </c>
    </row>
    <row r="107">
      <c r="A107" s="6" t="n">
        <v>106</v>
      </c>
      <c r="B107" s="6" t="inlineStr">
        <is>
          <t>Cost/latency production scenario</t>
        </is>
      </c>
      <c r="C107" s="6" t="inlineStr">
        <is>
          <t>G01 Enterprise knowledge assistant (permission-aware RAG)</t>
        </is>
      </c>
      <c r="D107" s="10" t="inlineStr">
        <is>
          <t>Same system, cost/latency question — 10-min add-on</t>
        </is>
      </c>
      <c r="E107" s="6" t="inlineStr">
        <is>
          <t>§15 scenario 3: retrieval slow as the corpus grows. Index partitioning, ACL pre-filter, top-k discipline.</t>
        </is>
      </c>
      <c r="F107" s="6" t="inlineStr">
        <is>
          <t>RAG retrieval became slow after adding more documents</t>
        </is>
      </c>
      <c r="G107" s="6" t="inlineStr">
        <is>
          <t>Study Guides — Cost &amp; Latency Optimization (§15, 15 production scenarios)</t>
        </is>
      </c>
      <c r="H107" s="6" t="inlineStr">
        <is>
          <t>Study_Guides/Cost_Latency_Optimization/CRAM_SHEET_S15_S16.md</t>
        </is>
      </c>
      <c r="I107" s="6" t="inlineStr"/>
      <c r="J107" s="6" t="inlineStr">
        <is>
          <t>Study_Guides/Cost_Latency_Optimization/Cost_Latency_Drills_S15_S16.html; one-liners in §2 of the cram sheet</t>
        </is>
      </c>
      <c r="K107" s="6" t="inlineStr">
        <is>
          <t>md section + html drill deck</t>
        </is>
      </c>
      <c r="L107" s="6" t="inlineStr">
        <is>
          <t>Yes</t>
        </is>
      </c>
      <c r="M107" s="6" t="inlineStr">
        <is>
          <t>§15 scenario 3. Shape: symptom / ask / causes / metrics / debug / now / later / prevent / say. Same 8 drivers as the drills.</t>
        </is>
      </c>
      <c r="N107" s="6" t="inlineStr">
        <is>
          <t>G01_Enterprise_Knowledge_Assistant/</t>
        </is>
      </c>
      <c r="O107" s="12" t="inlineStr">
        <is>
          <t>https://forward-deployed-sigma.vercel.app/modules/15-fde-case-studies/knowledge-retrieval/enterprise-knowledge-assistant</t>
        </is>
      </c>
    </row>
    <row r="108">
      <c r="A108" s="6" t="n">
        <v>107</v>
      </c>
      <c r="B108" s="6" t="inlineStr">
        <is>
          <t>Cost/latency production scenario</t>
        </is>
      </c>
      <c r="C108" s="6" t="inlineStr">
        <is>
          <t>G03 Tool-using agent acting across enterprise systems</t>
        </is>
      </c>
      <c r="D108" s="10" t="inlineStr">
        <is>
          <t>Same system, cost/latency question — 10-min add-on</t>
        </is>
      </c>
      <c r="E108" s="6" t="inlineStr">
        <is>
          <t>§15 scenario 4: agent keeps calling tools. Step caps, in-request caching of tool results, deterministic routes.</t>
        </is>
      </c>
      <c r="F108" s="6" t="inlineStr">
        <is>
          <t>Agent keeps calling tools repeatedly</t>
        </is>
      </c>
      <c r="G108" s="6" t="inlineStr">
        <is>
          <t>Study Guides — Cost &amp; Latency Optimization (§15, 15 production scenarios)</t>
        </is>
      </c>
      <c r="H108" s="6" t="inlineStr">
        <is>
          <t>Study_Guides/Cost_Latency_Optimization/CRAM_SHEET_S15_S16.md</t>
        </is>
      </c>
      <c r="I108" s="6" t="inlineStr"/>
      <c r="J108" s="6" t="inlineStr">
        <is>
          <t>Study_Guides/Cost_Latency_Optimization/Cost_Latency_Drills_S15_S16.html; one-liners in §2 of the cram sheet</t>
        </is>
      </c>
      <c r="K108" s="6" t="inlineStr">
        <is>
          <t>md section + html drill deck</t>
        </is>
      </c>
      <c r="L108" s="6" t="inlineStr">
        <is>
          <t>Yes</t>
        </is>
      </c>
      <c r="M108" s="6" t="inlineStr">
        <is>
          <t>§15 scenario 4. Shape: symptom / ask / causes / metrics / debug / now / later / prevent / say. Same 8 drivers as the drills.</t>
        </is>
      </c>
      <c r="N108" s="6" t="inlineStr">
        <is>
          <t>G03_Tool_Using_Agent_With_Safety_Controls/</t>
        </is>
      </c>
      <c r="O108" s="12" t="inlineStr">
        <is>
          <t>https://forward-deployed-sigma.vercel.app/modules/15-fde-case-studies/agents-that-act/tool-using-agent-with-safety-controls</t>
        </is>
      </c>
    </row>
    <row r="109">
      <c r="A109" s="6" t="n">
        <v>108</v>
      </c>
      <c r="B109" s="6" t="inlineStr">
        <is>
          <t>Cost/latency production scenario</t>
        </is>
      </c>
      <c r="C109" s="6" t="inlineStr">
        <is>
          <t>G07 Secure multi-tenant AI platform</t>
        </is>
      </c>
      <c r="D109" s="10" t="inlineStr">
        <is>
          <t>Same system, cost/latency question — 10-min add-on</t>
        </is>
      </c>
      <c r="E109" s="6" t="inlineStr">
        <is>
          <t>§15 scenario 5: one tenant has unusually high usage. Per-tenant attribution, quotas, noisy-neighbour limits.</t>
        </is>
      </c>
      <c r="F109" s="6" t="inlineStr">
        <is>
          <t>One tenant has unusually high usage</t>
        </is>
      </c>
      <c r="G109" s="6" t="inlineStr">
        <is>
          <t>Study Guides — Cost &amp; Latency Optimization (§15, 15 production scenarios)</t>
        </is>
      </c>
      <c r="H109" s="6" t="inlineStr">
        <is>
          <t>Study_Guides/Cost_Latency_Optimization/CRAM_SHEET_S15_S16.md</t>
        </is>
      </c>
      <c r="I109" s="6" t="inlineStr"/>
      <c r="J109" s="6" t="inlineStr">
        <is>
          <t>Study_Guides/Cost_Latency_Optimization/Cost_Latency_Drills_S15_S16.html; one-liners in §2 of the cram sheet</t>
        </is>
      </c>
      <c r="K109" s="6" t="inlineStr">
        <is>
          <t>md section + html drill deck</t>
        </is>
      </c>
      <c r="L109" s="6" t="inlineStr">
        <is>
          <t>Yes</t>
        </is>
      </c>
      <c r="M109" s="6" t="inlineStr">
        <is>
          <t>§15 scenario 5. Shape: symptom / ask / causes / metrics / debug / now / later / prevent / say. Same 8 drivers as the drills.</t>
        </is>
      </c>
      <c r="N109" s="6" t="inlineStr">
        <is>
          <t>G07_Secure_Multi_Tenant_AI_Platform/</t>
        </is>
      </c>
      <c r="O109" s="12" t="inlineStr">
        <is>
          <t>https://forward-deployed-sigma.vercel.app/modules/15-fde-case-studies/platforms-and-scale/secure-multi-tenant-ai-platform</t>
        </is>
      </c>
    </row>
    <row r="110">
      <c r="A110" s="6" t="n">
        <v>109</v>
      </c>
      <c r="B110" s="6" t="inlineStr">
        <is>
          <t>Cost/latency production scenario</t>
        </is>
      </c>
      <c r="C110" s="6" t="inlineStr">
        <is>
          <t>G14 Observability and production diagnosis</t>
        </is>
      </c>
      <c r="D110" s="10" t="inlineStr">
        <is>
          <t>Same system, cost/latency question — 10-min add-on</t>
        </is>
      </c>
      <c r="E110" s="6" t="inlineStr">
        <is>
          <t>§15 scenario 6: executive demo too slow. Precompute, warm cache, stream, smaller model for the demo path.</t>
        </is>
      </c>
      <c r="F110" s="6" t="inlineStr">
        <is>
          <t>Executive demo is too slow</t>
        </is>
      </c>
      <c r="G110" s="6" t="inlineStr">
        <is>
          <t>Study Guides — Cost &amp; Latency Optimization (§15, 15 production scenarios)</t>
        </is>
      </c>
      <c r="H110" s="6" t="inlineStr">
        <is>
          <t>Study_Guides/Cost_Latency_Optimization/CRAM_SHEET_S15_S16.md</t>
        </is>
      </c>
      <c r="I110" s="6" t="inlineStr"/>
      <c r="J110" s="6" t="inlineStr">
        <is>
          <t>Study_Guides/Cost_Latency_Optimization/Cost_Latency_Drills_S15_S16.html; one-liners in §2 of the cram sheet</t>
        </is>
      </c>
      <c r="K110" s="6" t="inlineStr">
        <is>
          <t>md section + html drill deck</t>
        </is>
      </c>
      <c r="L110" s="6" t="inlineStr">
        <is>
          <t>Yes</t>
        </is>
      </c>
      <c r="M110" s="6" t="inlineStr">
        <is>
          <t>§15 scenario 6. Shape: symptom / ask / causes / metrics / debug / now / later / prevent / say. Same 8 drivers as the drills.</t>
        </is>
      </c>
      <c r="N110" s="6" t="inlineStr">
        <is>
          <t>G14_Observability_And_Production_Diagnosis/</t>
        </is>
      </c>
      <c r="O110" s="12" t="inlineStr">
        <is>
          <t>https://forward-deployed-sigma.vercel.app/modules/15-fde-case-studies/delivery-evaluation-operations/observability-and-production-diagnosis</t>
        </is>
      </c>
    </row>
    <row r="111">
      <c r="A111" s="6" t="n">
        <v>110</v>
      </c>
      <c r="B111" s="6" t="inlineStr">
        <is>
          <t>Cost/latency production scenario</t>
        </is>
      </c>
      <c r="C111" s="6" t="inlineStr">
        <is>
          <t>G14 Observability and production diagnosis</t>
        </is>
      </c>
      <c r="D111" s="10" t="inlineStr">
        <is>
          <t>Same system, cost/latency question — 10-min add-on</t>
        </is>
      </c>
      <c r="E111" s="6" t="inlineStr">
        <is>
          <t>§15 scenario 7: customer says the AI is too expensive. Cost per outcome, not per request; route and cache by workflow.</t>
        </is>
      </c>
      <c r="F111" s="6" t="inlineStr">
        <is>
          <t>Customer complains the AI is too expensive</t>
        </is>
      </c>
      <c r="G111" s="6" t="inlineStr">
        <is>
          <t>Study Guides — Cost &amp; Latency Optimization (§15, 15 production scenarios)</t>
        </is>
      </c>
      <c r="H111" s="6" t="inlineStr">
        <is>
          <t>Study_Guides/Cost_Latency_Optimization/CRAM_SHEET_S15_S16.md</t>
        </is>
      </c>
      <c r="I111" s="6" t="inlineStr"/>
      <c r="J111" s="6" t="inlineStr">
        <is>
          <t>Study_Guides/Cost_Latency_Optimization/Cost_Latency_Drills_S15_S16.html; one-liners in §2 of the cram sheet</t>
        </is>
      </c>
      <c r="K111" s="6" t="inlineStr">
        <is>
          <t>md section + html drill deck</t>
        </is>
      </c>
      <c r="L111" s="6" t="inlineStr">
        <is>
          <t>Yes</t>
        </is>
      </c>
      <c r="M111" s="6" t="inlineStr">
        <is>
          <t>§15 scenario 7. Shape: symptom / ask / causes / metrics / debug / now / later / prevent / say. Same 8 drivers as the drills.</t>
        </is>
      </c>
      <c r="N111" s="6" t="inlineStr">
        <is>
          <t>G14_Observability_And_Production_Diagnosis/</t>
        </is>
      </c>
      <c r="O111" s="12" t="inlineStr">
        <is>
          <t>https://forward-deployed-sigma.vercel.app/modules/15-fde-case-studies/delivery-evaluation-operations/observability-and-production-diagnosis</t>
        </is>
      </c>
    </row>
    <row r="112">
      <c r="A112" s="6" t="n">
        <v>111</v>
      </c>
      <c r="B112" s="6" t="inlineStr">
        <is>
          <t>Cost/latency production scenario</t>
        </is>
      </c>
      <c r="C112" s="6" t="inlineStr">
        <is>
          <t>G01 Enterprise knowledge assistant (permission-aware RAG)</t>
        </is>
      </c>
      <c r="D112" s="10" t="inlineStr">
        <is>
          <t>Same system, cost/latency question — 10-min add-on</t>
        </is>
      </c>
      <c r="E112" s="6" t="inlineStr">
        <is>
          <t>§15 scenario 8: vector DB query latency. Filters, index type, warm caches, over-retrieval caps.</t>
        </is>
      </c>
      <c r="F112" s="6" t="inlineStr">
        <is>
          <t>Vector database query latency increased</t>
        </is>
      </c>
      <c r="G112" s="6" t="inlineStr">
        <is>
          <t>Study Guides — Cost &amp; Latency Optimization (§15, 15 production scenarios)</t>
        </is>
      </c>
      <c r="H112" s="6" t="inlineStr">
        <is>
          <t>Study_Guides/Cost_Latency_Optimization/CRAM_SHEET_S15_S16.md</t>
        </is>
      </c>
      <c r="I112" s="6" t="inlineStr"/>
      <c r="J112" s="6" t="inlineStr">
        <is>
          <t>Study_Guides/Cost_Latency_Optimization/Cost_Latency_Drills_S15_S16.html; one-liners in §2 of the cram sheet</t>
        </is>
      </c>
      <c r="K112" s="6" t="inlineStr">
        <is>
          <t>md section + html drill deck</t>
        </is>
      </c>
      <c r="L112" s="6" t="inlineStr">
        <is>
          <t>Yes</t>
        </is>
      </c>
      <c r="M112" s="6" t="inlineStr">
        <is>
          <t>§15 scenario 8. Shape: symptom / ask / causes / metrics / debug / now / later / prevent / say. Same 8 drivers as the drills.</t>
        </is>
      </c>
      <c r="N112" s="6" t="inlineStr">
        <is>
          <t>G01_Enterprise_Knowledge_Assistant/</t>
        </is>
      </c>
      <c r="O112" s="12" t="inlineStr">
        <is>
          <t>https://forward-deployed-sigma.vercel.app/modules/15-fde-case-studies/knowledge-retrieval/enterprise-knowledge-assistant</t>
        </is>
      </c>
    </row>
    <row r="113">
      <c r="A113" s="6" t="n">
        <v>112</v>
      </c>
      <c r="B113" s="6" t="inlineStr">
        <is>
          <t>Cost/latency production scenario</t>
        </is>
      </c>
      <c r="C113" s="6" t="inlineStr">
        <is>
          <t>G01 Enterprise knowledge assistant (permission-aware RAG)</t>
        </is>
      </c>
      <c r="D113" s="10" t="inlineStr">
        <is>
          <t>Same system, cost/latency question — 10-min add-on</t>
        </is>
      </c>
      <c r="E113" s="6" t="inlineStr">
        <is>
          <t>§15 scenario 9: reranker doubled latency. Gate the rerank: only ambiguous queries, smaller candidate set, cheaper reranker.</t>
        </is>
      </c>
      <c r="F113" s="6" t="inlineStr">
        <is>
          <t>Reranker improved quality but doubled latency</t>
        </is>
      </c>
      <c r="G113" s="6" t="inlineStr">
        <is>
          <t>Study Guides — Cost &amp; Latency Optimization (§15, 15 production scenarios)</t>
        </is>
      </c>
      <c r="H113" s="6" t="inlineStr">
        <is>
          <t>Study_Guides/Cost_Latency_Optimization/CRAM_SHEET_S15_S16.md</t>
        </is>
      </c>
      <c r="I113" s="6" t="inlineStr"/>
      <c r="J113" s="6" t="inlineStr">
        <is>
          <t>Study_Guides/Cost_Latency_Optimization/Cost_Latency_Drills_S15_S16.html; one-liners in §2 of the cram sheet</t>
        </is>
      </c>
      <c r="K113" s="6" t="inlineStr">
        <is>
          <t>md section + html drill deck</t>
        </is>
      </c>
      <c r="L113" s="6" t="inlineStr">
        <is>
          <t>Yes</t>
        </is>
      </c>
      <c r="M113" s="6" t="inlineStr">
        <is>
          <t>§15 scenario 9. Shape: symptom / ask / causes / metrics / debug / now / later / prevent / say. Same 8 drivers as the drills.</t>
        </is>
      </c>
      <c r="N113" s="6" t="inlineStr">
        <is>
          <t>G01_Enterprise_Knowledge_Assistant/</t>
        </is>
      </c>
      <c r="O113" s="12" t="inlineStr">
        <is>
          <t>https://forward-deployed-sigma.vercel.app/modules/15-fde-case-studies/knowledge-retrieval/enterprise-knowledge-assistant</t>
        </is>
      </c>
    </row>
    <row r="114">
      <c r="A114" s="6" t="n">
        <v>113</v>
      </c>
      <c r="B114" s="6" t="inlineStr">
        <is>
          <t>Cost/latency production scenario</t>
        </is>
      </c>
      <c r="C114" s="6" t="inlineStr">
        <is>
          <t>G14 Observability and production diagnosis</t>
        </is>
      </c>
      <c r="D114" s="10" t="inlineStr">
        <is>
          <t>Same system, cost/latency question — 10-min add-on</t>
        </is>
      </c>
      <c r="E114" s="6" t="inlineStr">
        <is>
          <t>§15 scenario 10: prompt update raised token usage. Prompt-token regression tests in CI.</t>
        </is>
      </c>
      <c r="F114" s="6" t="inlineStr">
        <is>
          <t>Prompt update increased token usage</t>
        </is>
      </c>
      <c r="G114" s="6" t="inlineStr">
        <is>
          <t>Study Guides — Cost &amp; Latency Optimization (§15, 15 production scenarios)</t>
        </is>
      </c>
      <c r="H114" s="6" t="inlineStr">
        <is>
          <t>Study_Guides/Cost_Latency_Optimization/CRAM_SHEET_S15_S16.md</t>
        </is>
      </c>
      <c r="I114" s="6" t="inlineStr"/>
      <c r="J114" s="6" t="inlineStr">
        <is>
          <t>Study_Guides/Cost_Latency_Optimization/Cost_Latency_Drills_S15_S16.html; one-liners in §2 of the cram sheet</t>
        </is>
      </c>
      <c r="K114" s="6" t="inlineStr">
        <is>
          <t>md section + html drill deck</t>
        </is>
      </c>
      <c r="L114" s="6" t="inlineStr">
        <is>
          <t>Yes</t>
        </is>
      </c>
      <c r="M114" s="6" t="inlineStr">
        <is>
          <t>§15 scenario 10. Shape: symptom / ask / causes / metrics / debug / now / later / prevent / say. Same 8 drivers as the drills.</t>
        </is>
      </c>
      <c r="N114" s="6" t="inlineStr">
        <is>
          <t>G14_Observability_And_Production_Diagnosis/</t>
        </is>
      </c>
      <c r="O114" s="12" t="inlineStr">
        <is>
          <t>https://forward-deployed-sigma.vercel.app/modules/15-fde-case-studies/delivery-evaluation-operations/observability-and-production-diagnosis</t>
        </is>
      </c>
    </row>
    <row r="115">
      <c r="A115" s="6" t="n">
        <v>114</v>
      </c>
      <c r="B115" s="6" t="inlineStr">
        <is>
          <t>Cost/latency production scenario</t>
        </is>
      </c>
      <c r="C115" s="6" t="inlineStr">
        <is>
          <t>G14 Observability and production diagnosis</t>
        </is>
      </c>
      <c r="D115" s="10" t="inlineStr">
        <is>
          <t>Same system, cost/latency question — 10-min add-on</t>
        </is>
      </c>
      <c r="E115" s="6" t="inlineStr">
        <is>
          <t>§15 scenario 11: provider latency unstable. Fallback model/region, timeouts, hedged requests for interactive paths.</t>
        </is>
      </c>
      <c r="F115" s="6" t="inlineStr">
        <is>
          <t>Model provider latency became unstable</t>
        </is>
      </c>
      <c r="G115" s="6" t="inlineStr">
        <is>
          <t>Study Guides — Cost &amp; Latency Optimization (§15, 15 production scenarios)</t>
        </is>
      </c>
      <c r="H115" s="6" t="inlineStr">
        <is>
          <t>Study_Guides/Cost_Latency_Optimization/CRAM_SHEET_S15_S16.md</t>
        </is>
      </c>
      <c r="I115" s="6" t="inlineStr"/>
      <c r="J115" s="6" t="inlineStr">
        <is>
          <t>Study_Guides/Cost_Latency_Optimization/Cost_Latency_Drills_S15_S16.html; one-liners in §2 of the cram sheet</t>
        </is>
      </c>
      <c r="K115" s="6" t="inlineStr">
        <is>
          <t>md section + html drill deck</t>
        </is>
      </c>
      <c r="L115" s="6" t="inlineStr">
        <is>
          <t>Yes</t>
        </is>
      </c>
      <c r="M115" s="6" t="inlineStr">
        <is>
          <t>§15 scenario 11. Shape: symptom / ask / causes / metrics / debug / now / later / prevent / say. Same 8 drivers as the drills.</t>
        </is>
      </c>
      <c r="N115" s="6" t="inlineStr">
        <is>
          <t>G14_Observability_And_Production_Diagnosis/</t>
        </is>
      </c>
      <c r="O115" s="12" t="inlineStr">
        <is>
          <t>https://forward-deployed-sigma.vercel.app/modules/15-fde-case-studies/delivery-evaluation-operations/observability-and-production-diagnosis</t>
        </is>
      </c>
    </row>
    <row r="116">
      <c r="A116" s="6" t="n">
        <v>115</v>
      </c>
      <c r="B116" s="6" t="inlineStr">
        <is>
          <t>Cost/latency production scenario</t>
        </is>
      </c>
      <c r="C116" s="6" t="inlineStr">
        <is>
          <t>G14 Observability and production diagnosis</t>
        </is>
      </c>
      <c r="D116" s="10" t="inlineStr">
        <is>
          <t>Same system, cost/latency question — 10-min add-on</t>
        </is>
      </c>
      <c r="E116" s="6" t="inlineStr">
        <is>
          <t>§15 scenario 12: cache hit rate dropped. Cache key drift (prefix caching is a prefix match); version the key deliberately.</t>
        </is>
      </c>
      <c r="F116" s="6" t="inlineStr">
        <is>
          <t>Cache hit rate dropped suddenly</t>
        </is>
      </c>
      <c r="G116" s="6" t="inlineStr">
        <is>
          <t>Study Guides — Cost &amp; Latency Optimization (§15, 15 production scenarios)</t>
        </is>
      </c>
      <c r="H116" s="6" t="inlineStr">
        <is>
          <t>Study_Guides/Cost_Latency_Optimization/CRAM_SHEET_S15_S16.md</t>
        </is>
      </c>
      <c r="I116" s="6" t="inlineStr"/>
      <c r="J116" s="6" t="inlineStr">
        <is>
          <t>Study_Guides/Cost_Latency_Optimization/Cost_Latency_Drills_S15_S16.html; one-liners in §2 of the cram sheet</t>
        </is>
      </c>
      <c r="K116" s="6" t="inlineStr">
        <is>
          <t>md section + html drill deck</t>
        </is>
      </c>
      <c r="L116" s="6" t="inlineStr">
        <is>
          <t>Yes</t>
        </is>
      </c>
      <c r="M116" s="6" t="inlineStr">
        <is>
          <t>§15 scenario 12. Shape: symptom / ask / causes / metrics / debug / now / later / prevent / say. Same 8 drivers as the drills.</t>
        </is>
      </c>
      <c r="N116" s="6" t="inlineStr">
        <is>
          <t>G14_Observability_And_Production_Diagnosis/</t>
        </is>
      </c>
      <c r="O116" s="12" t="inlineStr">
        <is>
          <t>https://forward-deployed-sigma.vercel.app/modules/15-fde-case-studies/delivery-evaluation-operations/observability-and-production-diagnosis</t>
        </is>
      </c>
    </row>
    <row r="117">
      <c r="A117" s="6" t="n">
        <v>116</v>
      </c>
      <c r="B117" s="6" t="inlineStr">
        <is>
          <t>Cost/latency production scenario</t>
        </is>
      </c>
      <c r="C117" s="6" t="inlineStr">
        <is>
          <t>G10 High-volume batch / document pipeline</t>
        </is>
      </c>
      <c r="D117" s="10" t="inlineStr">
        <is>
          <t>Same system, cost/latency question — 10-min add-on</t>
        </is>
      </c>
      <c r="E117" s="6" t="inlineStr">
        <is>
          <t>§15 scenario 13: batch embedding job too expensive. Content hashing, changed-only, cheaper embedding model, off-peak.</t>
        </is>
      </c>
      <c r="F117" s="6" t="inlineStr">
        <is>
          <t>Batch embedding job became too expensive</t>
        </is>
      </c>
      <c r="G117" s="6" t="inlineStr">
        <is>
          <t>Study Guides — Cost &amp; Latency Optimization (§15, 15 production scenarios)</t>
        </is>
      </c>
      <c r="H117" s="6" t="inlineStr">
        <is>
          <t>Study_Guides/Cost_Latency_Optimization/CRAM_SHEET_S15_S16.md</t>
        </is>
      </c>
      <c r="I117" s="6" t="inlineStr"/>
      <c r="J117" s="6" t="inlineStr">
        <is>
          <t>Study_Guides/Cost_Latency_Optimization/Cost_Latency_Drills_S15_S16.html; one-liners in §2 of the cram sheet</t>
        </is>
      </c>
      <c r="K117" s="6" t="inlineStr">
        <is>
          <t>md section + html drill deck</t>
        </is>
      </c>
      <c r="L117" s="6" t="inlineStr">
        <is>
          <t>Yes</t>
        </is>
      </c>
      <c r="M117" s="6" t="inlineStr">
        <is>
          <t>§15 scenario 13. Shape: symptom / ask / causes / metrics / debug / now / later / prevent / say. Same 8 drivers as the drills.</t>
        </is>
      </c>
      <c r="N117" s="6" t="inlineStr">
        <is>
          <t>G10_High_Volume_Batch_Pipeline/</t>
        </is>
      </c>
      <c r="O117" s="12" t="inlineStr">
        <is>
          <t>https://forward-deployed-sigma.vercel.app/modules/15-fde-case-studies/platforms-and-scale/high-volume-batch-pipeline</t>
        </is>
      </c>
    </row>
    <row r="118">
      <c r="A118" s="6" t="n">
        <v>117</v>
      </c>
      <c r="B118" s="6" t="inlineStr">
        <is>
          <t>Cost/latency production scenario</t>
        </is>
      </c>
      <c r="C118" s="6" t="inlineStr">
        <is>
          <t>G01 Enterprise knowledge assistant (permission-aware RAG)</t>
        </is>
      </c>
      <c r="D118" s="10" t="inlineStr">
        <is>
          <t>Same system, cost/latency question — 10-min add-on</t>
        </is>
      </c>
      <c r="E118" s="6" t="inlineStr">
        <is>
          <t>§15 scenario 14: long context hurt quality. Tight candidate set beats prompt stuffing; compress evidence.</t>
        </is>
      </c>
      <c r="F118" s="6" t="inlineStr">
        <is>
          <t>Long context window caused poor performance</t>
        </is>
      </c>
      <c r="G118" s="6" t="inlineStr">
        <is>
          <t>Study Guides — Cost &amp; Latency Optimization (§15, 15 production scenarios)</t>
        </is>
      </c>
      <c r="H118" s="6" t="inlineStr">
        <is>
          <t>Study_Guides/Cost_Latency_Optimization/CRAM_SHEET_S15_S16.md</t>
        </is>
      </c>
      <c r="I118" s="6" t="inlineStr"/>
      <c r="J118" s="6" t="inlineStr">
        <is>
          <t>Study_Guides/Cost_Latency_Optimization/Cost_Latency_Drills_S15_S16.html; one-liners in §2 of the cram sheet</t>
        </is>
      </c>
      <c r="K118" s="6" t="inlineStr">
        <is>
          <t>md section + html drill deck</t>
        </is>
      </c>
      <c r="L118" s="6" t="inlineStr">
        <is>
          <t>Yes</t>
        </is>
      </c>
      <c r="M118" s="6" t="inlineStr">
        <is>
          <t>§15 scenario 14. Shape: symptom / ask / causes / metrics / debug / now / later / prevent / say. Same 8 drivers as the drills.</t>
        </is>
      </c>
      <c r="N118" s="6" t="inlineStr">
        <is>
          <t>G01_Enterprise_Knowledge_Assistant/</t>
        </is>
      </c>
      <c r="O118" s="12" t="inlineStr">
        <is>
          <t>https://forward-deployed-sigma.vercel.app/modules/15-fde-case-studies/knowledge-retrieval/enterprise-knowledge-assistant</t>
        </is>
      </c>
    </row>
    <row r="119">
      <c r="A119" s="6" t="n">
        <v>118</v>
      </c>
      <c r="B119" s="6" t="inlineStr">
        <is>
          <t>Cost/latency production scenario</t>
        </is>
      </c>
      <c r="C119" s="6" t="inlineStr">
        <is>
          <t>G03 Tool-using agent acting across enterprise systems</t>
        </is>
      </c>
      <c r="D119" s="10" t="inlineStr">
        <is>
          <t>Same system, cost/latency question — 10-min add-on</t>
        </is>
      </c>
      <c r="E119" s="6" t="inlineStr">
        <is>
          <t>§15 scenario 15: tool-calling workflow times out. Per-tool timeouts, parallel read-only calls, bounded execution graph.</t>
        </is>
      </c>
      <c r="F119" s="6" t="inlineStr">
        <is>
          <t>Tool-calling workflow times out</t>
        </is>
      </c>
      <c r="G119" s="6" t="inlineStr">
        <is>
          <t>Study Guides — Cost &amp; Latency Optimization (§15, 15 production scenarios)</t>
        </is>
      </c>
      <c r="H119" s="6" t="inlineStr">
        <is>
          <t>Study_Guides/Cost_Latency_Optimization/CRAM_SHEET_S15_S16.md</t>
        </is>
      </c>
      <c r="I119" s="6" t="inlineStr"/>
      <c r="J119" s="6" t="inlineStr">
        <is>
          <t>Study_Guides/Cost_Latency_Optimization/Cost_Latency_Drills_S15_S16.html; one-liners in §2 of the cram sheet</t>
        </is>
      </c>
      <c r="K119" s="6" t="inlineStr">
        <is>
          <t>md section + html drill deck</t>
        </is>
      </c>
      <c r="L119" s="6" t="inlineStr">
        <is>
          <t>Yes</t>
        </is>
      </c>
      <c r="M119" s="6" t="inlineStr">
        <is>
          <t>§15 scenario 15. Shape: symptom / ask / causes / metrics / debug / now / later / prevent / say. Same 8 drivers as the drills.</t>
        </is>
      </c>
      <c r="N119" s="6" t="inlineStr">
        <is>
          <t>G03_Tool_Using_Agent_With_Safety_Controls/</t>
        </is>
      </c>
      <c r="O119" s="12" t="inlineStr">
        <is>
          <t>https://forward-deployed-sigma.vercel.app/modules/15-fde-case-studies/agents-that-act/tool-using-agent-with-safety-controls</t>
        </is>
      </c>
    </row>
    <row r="120">
      <c r="A120" s="6" t="n">
        <v>119</v>
      </c>
      <c r="B120" s="6" t="inlineStr">
        <is>
          <t>Cost/latency production scenario</t>
        </is>
      </c>
      <c r="C120" s="6" t="inlineStr">
        <is>
          <t>G14 Observability and production diagnosis</t>
        </is>
      </c>
      <c r="D120" s="10" t="inlineStr">
        <is>
          <t>Same system, cost/latency question — 10-min add-on</t>
        </is>
      </c>
      <c r="E120" s="6" t="inlineStr">
        <is>
          <t>Addition: rate limits at peak. Separate provider 429s from your own gateway limits; jitter, fallback, shed batch traffic.</t>
        </is>
      </c>
      <c r="F120" s="6" t="inlineStr">
        <is>
          <t>Rate limits are throttling us at peak</t>
        </is>
      </c>
      <c r="G120" s="6" t="inlineStr">
        <is>
          <t>Study Guides — Cost &amp; Latency Optimization (additions beyond the playbook, section E)</t>
        </is>
      </c>
      <c r="H120" s="6" t="inlineStr">
        <is>
          <t>Study_Guides/Cost_Latency_Optimization/ADDITIONS_BEYOND_PLAYBOOK.md</t>
        </is>
      </c>
      <c r="I120" s="6" t="inlineStr"/>
      <c r="J120" s="6" t="inlineStr"/>
      <c r="K120" s="6" t="inlineStr">
        <is>
          <t>md table row</t>
        </is>
      </c>
      <c r="L120" s="6" t="inlineStr">
        <is>
          <t>Yes</t>
        </is>
      </c>
      <c r="M120" s="6" t="inlineStr">
        <is>
          <t>Section E: a scenario the interviewer may add that §15 does not cover; one 'senior answer' row.</t>
        </is>
      </c>
      <c r="N120" s="6" t="inlineStr">
        <is>
          <t>G14_Observability_And_Production_Diagnosis/</t>
        </is>
      </c>
      <c r="O120" s="12" t="inlineStr">
        <is>
          <t>https://forward-deployed-sigma.vercel.app/modules/15-fde-case-studies/delivery-evaluation-operations/observability-and-production-diagnosis</t>
        </is>
      </c>
    </row>
    <row r="121">
      <c r="A121" s="6" t="n">
        <v>120</v>
      </c>
      <c r="B121" s="6" t="inlineStr">
        <is>
          <t>Cost/latency production scenario</t>
        </is>
      </c>
      <c r="C121" s="6" t="inlineStr">
        <is>
          <t>G13 Evaluation and release gating</t>
        </is>
      </c>
      <c r="D121" s="10" t="inlineStr">
        <is>
          <t>Same system, cost/latency question — 10-min add-on</t>
        </is>
      </c>
      <c r="E121" s="6" t="inlineStr">
        <is>
          <t>Addition: eval bill tripled. LLM-as-judge is inference: stratified sample, cheap judge with strong-judge audit, deltas only.</t>
        </is>
      </c>
      <c r="F121" s="6" t="inlineStr">
        <is>
          <t>Costs are fine but the eval bill tripled</t>
        </is>
      </c>
      <c r="G121" s="6" t="inlineStr">
        <is>
          <t>Study Guides — Cost &amp; Latency Optimization (additions beyond the playbook, section E)</t>
        </is>
      </c>
      <c r="H121" s="6" t="inlineStr">
        <is>
          <t>Study_Guides/Cost_Latency_Optimization/ADDITIONS_BEYOND_PLAYBOOK.md</t>
        </is>
      </c>
      <c r="I121" s="6" t="inlineStr"/>
      <c r="J121" s="6" t="inlineStr"/>
      <c r="K121" s="6" t="inlineStr">
        <is>
          <t>md table row</t>
        </is>
      </c>
      <c r="L121" s="6" t="inlineStr">
        <is>
          <t>Yes</t>
        </is>
      </c>
      <c r="M121" s="6" t="inlineStr">
        <is>
          <t>Section E: a scenario the interviewer may add that §15 does not cover; one 'senior answer' row.</t>
        </is>
      </c>
      <c r="N121" s="6" t="inlineStr">
        <is>
          <t>G13_Evaluation_And_Release_Gating/</t>
        </is>
      </c>
      <c r="O121" s="12" t="inlineStr">
        <is>
          <t>https://forward-deployed-sigma.vercel.app/modules/15-fde-case-studies/delivery-evaluation-operations/evaluation-and-release-gating</t>
        </is>
      </c>
    </row>
    <row r="122">
      <c r="A122" s="6" t="n">
        <v>121</v>
      </c>
      <c r="B122" s="6" t="inlineStr">
        <is>
          <t>Cost/latency production scenario</t>
        </is>
      </c>
      <c r="C122" s="6" t="inlineStr">
        <is>
          <t>G14 Observability and production diagnosis</t>
        </is>
      </c>
      <c r="D122" s="10" t="inlineStr">
        <is>
          <t>Same system, cost/latency question — 10-min add-on</t>
        </is>
      </c>
      <c r="E122" s="6" t="inlineStr">
        <is>
          <t>Addition: users abandon mid-stream. Measure against first-token time; cancel the stream and in-flight tool calls on abandon.</t>
        </is>
      </c>
      <c r="F122" s="6" t="inlineStr">
        <is>
          <t>Streaming works but users abandon mid-answer</t>
        </is>
      </c>
      <c r="G122" s="6" t="inlineStr">
        <is>
          <t>Study Guides — Cost &amp; Latency Optimization (additions beyond the playbook, section E)</t>
        </is>
      </c>
      <c r="H122" s="6" t="inlineStr">
        <is>
          <t>Study_Guides/Cost_Latency_Optimization/ADDITIONS_BEYOND_PLAYBOOK.md</t>
        </is>
      </c>
      <c r="I122" s="6" t="inlineStr"/>
      <c r="J122" s="6" t="inlineStr"/>
      <c r="K122" s="6" t="inlineStr">
        <is>
          <t>md table row</t>
        </is>
      </c>
      <c r="L122" s="6" t="inlineStr">
        <is>
          <t>Yes</t>
        </is>
      </c>
      <c r="M122" s="6" t="inlineStr">
        <is>
          <t>Section E: a scenario the interviewer may add that §15 does not cover; one 'senior answer' row.</t>
        </is>
      </c>
      <c r="N122" s="6" t="inlineStr">
        <is>
          <t>G14_Observability_And_Production_Diagnosis/</t>
        </is>
      </c>
      <c r="O122" s="12" t="inlineStr">
        <is>
          <t>https://forward-deployed-sigma.vercel.app/modules/15-fde-case-studies/delivery-evaluation-operations/observability-and-production-diagnosis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</hyperlinks>
  <pageMargins left="0.75" right="0.75" top="1" bottom="1" header="0.5" footer="0.5"/>
  <tableParts count="1">
    <tablePart xmlns:r="http://schemas.openxmlformats.org/officeDocument/2006/relationships" r:id="rId12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5" customWidth="1" min="2" max="2"/>
    <col width="12" customWidth="1" min="3" max="3"/>
    <col width="55" customWidth="1" min="4" max="4"/>
  </cols>
  <sheetData>
    <row r="1">
      <c r="A1" s="7" t="inlineStr">
        <is>
          <t>Casebook</t>
        </is>
      </c>
      <c r="B1" s="7" t="inlineStr">
        <is>
          <t>Path (relative to 06_Interview_Prep/)</t>
        </is>
      </c>
      <c r="C1" s="7" t="inlineStr">
        <is>
          <t>Tracked in git</t>
        </is>
      </c>
      <c r="D1" s="7" t="inlineStr">
        <is>
          <t>Note</t>
        </is>
      </c>
    </row>
    <row r="2">
      <c r="A2" s="4" t="inlineStr">
        <is>
          <t>GenAI FDE Case Studies</t>
        </is>
      </c>
      <c r="B2" s="4" t="inlineStr">
        <is>
          <t>FDE/Complete GEN AI FDE Interview System — Core + GenAI/10_RRK_AND_CASE_STUDY_REFERENCE_LIBRARY/00_GenAI_FDE_Case_Studies.pdf</t>
        </is>
      </c>
      <c r="C2" s="4" t="inlineStr">
        <is>
          <t>No</t>
        </is>
      </c>
      <c r="D2" s="4" t="inlineStr">
        <is>
          <t>Vendor PDF; individual cases inside not enumerated in this index.</t>
        </is>
      </c>
    </row>
    <row r="3">
      <c r="A3" s="4" t="inlineStr">
        <is>
          <t>Healthcare Prior-Authorization Assistant (standalone case)</t>
        </is>
      </c>
      <c r="B3" s="4" t="inlineStr">
        <is>
          <t>FDE/Complete GEN AI FDE Interview System — Core + GenAI/10_RRK_AND_CASE_STUDY_REFERENCE_LIBRARY/02_Healthcare Prior-Authorization Assistant.pdf</t>
        </is>
      </c>
      <c r="C3" s="4" t="inlineStr">
        <is>
          <t>No</t>
        </is>
      </c>
      <c r="D3" s="4" t="inlineStr">
        <is>
          <t>Vendor PDF; individual cases inside not enumerated in this index.</t>
        </is>
      </c>
    </row>
    <row r="4">
      <c r="A4" s="4" t="inlineStr">
        <is>
          <t>GenAI FDE Interview Case Transcripts</t>
        </is>
      </c>
      <c r="B4" s="4" t="inlineStr">
        <is>
          <t>FDE/Complete GEN AI FDE Interview System — Core + GenAI/07_MOCK_INTERVIEWS_AND_SCORECARDS/00_GenAI_FDE_Interview_Case_Transcripts.pdf</t>
        </is>
      </c>
      <c r="C4" s="4" t="inlineStr">
        <is>
          <t>No</t>
        </is>
      </c>
      <c r="D4" s="4" t="inlineStr">
        <is>
          <t>Vendor PDF; individual cases inside not enumerated in this index.</t>
        </is>
      </c>
    </row>
    <row r="5">
      <c r="A5" s="4" t="inlineStr">
        <is>
          <t>MCP / A2A / LLMOps Case Studies</t>
        </is>
      </c>
      <c r="B5" s="4" t="inlineStr">
        <is>
          <t>FDE/Complete GEN AI FDE Interview System — Core + GenAI/09_MCP_A2A_AND_LLMOPS/01_MCP_A2A_LLMOps_Case_Studies.pdf</t>
        </is>
      </c>
      <c r="C5" s="4" t="inlineStr">
        <is>
          <t>No</t>
        </is>
      </c>
      <c r="D5" s="4" t="inlineStr">
        <is>
          <t>Vendor PDF; individual cases inside not enumerated in this index.</t>
        </is>
      </c>
    </row>
    <row r="6">
      <c r="A6" s="4" t="inlineStr">
        <is>
          <t>GenAI Evaluation Casebook</t>
        </is>
      </c>
      <c r="B6" s="4" t="inlineStr">
        <is>
          <t>FDE/Complete GEN AI FDE Interview System — Core + GenAI/04_EVALUATION_SECURITY_AND_RED_TEAM/01_GenAI Evaluation Casebook.pdf</t>
        </is>
      </c>
      <c r="C6" s="4" t="inlineStr">
        <is>
          <t>No</t>
        </is>
      </c>
      <c r="D6" s="4" t="inlineStr">
        <is>
          <t>Vendor PDF; individual cases inside not enumerated in this index.</t>
        </is>
      </c>
    </row>
    <row r="7">
      <c r="A7" s="4" t="inlineStr">
        <is>
          <t>GenAI Red Team and Abuse Case Workbook</t>
        </is>
      </c>
      <c r="B7" s="4" t="inlineStr">
        <is>
          <t>FDE/Complete GEN AI FDE Interview System — Core + GenAI/04_EVALUATION_SECURITY_AND_RED_TEAM/00_GenAI_Red_Team_And_Abuse_Case_Workbook.pdf</t>
        </is>
      </c>
      <c r="C7" s="4" t="inlineStr">
        <is>
          <t>No</t>
        </is>
      </c>
      <c r="D7" s="4" t="inlineStr">
        <is>
          <t>Vendor PDF; individual cases inside not enumerated in this index.</t>
        </is>
      </c>
    </row>
    <row r="8">
      <c r="A8" s="4" t="inlineStr">
        <is>
          <t>GenAI Incident Simulation Pack</t>
        </is>
      </c>
      <c r="B8" s="4" t="inlineStr">
        <is>
          <t>FDE/Complete GEN AI FDE Interview System — Core + GenAI/05_PRODUCTION_DEBUGGING_OBSERVABILITY_AND_OPTIMIZATION/00_GenAI Incident Simulation Pack.pdf</t>
        </is>
      </c>
      <c r="C8" s="4" t="inlineStr">
        <is>
          <t>No</t>
        </is>
      </c>
      <c r="D8" s="4" t="inlineStr">
        <is>
          <t>Vendor PDF; individual cases inside not enumerated in this index.</t>
        </is>
      </c>
    </row>
    <row r="9">
      <c r="A9" s="4" t="inlineStr">
        <is>
          <t>Decomposition Practice Workbook</t>
        </is>
      </c>
      <c r="B9" s="4" t="inlineStr">
        <is>
          <t>FDE/Complete GEN AI FDE Interview System — Core + GenAI/01_CUSTOMER_DISCOVERY_AND_DECOMPOSITION/01_GenAI_FDE_Decomposition_Practice_Workbook.pdf</t>
        </is>
      </c>
      <c r="C9" s="4" t="inlineStr">
        <is>
          <t>No</t>
        </is>
      </c>
      <c r="D9" s="4" t="inlineStr">
        <is>
          <t>Vendor PDF; individual cases inside not enumerated in this index.</t>
        </is>
      </c>
    </row>
    <row r="10">
      <c r="A10" s="4" t="inlineStr">
        <is>
          <t>AI Engineer Interview Kit — RAG/Agents Production Failure Scenarios</t>
        </is>
      </c>
      <c r="B10" s="4" t="inlineStr">
        <is>
          <t>Study_Guides/reference/AI_Engineer_Interview_Kit_RAG_Agents_Production_Failure_Scenarios_FINAL.pdf</t>
        </is>
      </c>
      <c r="C10" s="4" t="inlineStr">
        <is>
          <t>No</t>
        </is>
      </c>
      <c r="D10" s="4" t="inlineStr">
        <is>
          <t>Vendor PDF; individual cases inside not enumerated in this index.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2026-09-24T08:48:18Z</dcterms:created>
  <dcterms:modified xmlns:dcterms="http://purl.org/dc/terms/" xmlns:xsi="http://www.w3.org/2001/XMLSchema-instance" xsi:type="dcterms:W3CDTF">2026-09-24T08:48:18Z</dcterms:modified>
</cp:coreProperties>
</file>